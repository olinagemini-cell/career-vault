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sg001-my.sharepoint.com/personal/olina_liu_socgen_com/Documents/Desktop/"/>
    </mc:Choice>
  </mc:AlternateContent>
  <xr:revisionPtr revIDLastSave="12" documentId="13_ncr:1_{7A392C29-044F-4B6D-820D-DA5C38441D64}" xr6:coauthVersionLast="47" xr6:coauthVersionMax="47" xr10:uidLastSave="{A19E947E-3EB4-4DCB-B7FC-AB1883689286}"/>
  <bookViews>
    <workbookView xWindow="-110" yWindow="-110" windowWidth="19420" windowHeight="10300" tabRatio="313" activeTab="1" xr2:uid="{F8FA86DB-6586-4D1C-B47C-6DBBB18C4768}"/>
  </bookViews>
  <sheets>
    <sheet name="Sheet1" sheetId="1" r:id="rId1"/>
    <sheet name="Sheet3" sheetId="3" r:id="rId2"/>
    <sheet name="Sheet4" sheetId="4" r:id="rId3"/>
    <sheet name="Sheet2" sheetId="2" state="hidden" r:id="rId4"/>
  </sheets>
  <definedNames>
    <definedName name="_xlnm._FilterDatabase" localSheetId="0" hidden="1">Sheet1!$A$1:$J$41</definedName>
    <definedName name="_xlnm._FilterDatabase" localSheetId="1" hidden="1">Sheet3!$A$1:$J$42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</calcChain>
</file>

<file path=xl/sharedStrings.xml><?xml version="1.0" encoding="utf-8"?>
<sst xmlns="http://schemas.openxmlformats.org/spreadsheetml/2006/main" count="310" uniqueCount="154">
  <si>
    <t>One Platform/GW Action</t>
  </si>
  <si>
    <t>Odessa Action</t>
  </si>
  <si>
    <t>Progress</t>
  </si>
  <si>
    <t>Supplier</t>
  </si>
  <si>
    <t>Import agent could on behalf of "supplier"</t>
  </si>
  <si>
    <t>IE company configured</t>
  </si>
  <si>
    <t>Solved</t>
  </si>
  <si>
    <t>TP entity align with single deal BU only</t>
  </si>
  <si>
    <t>CHN could do business with HKG TP, or guarantor is from other entity</t>
  </si>
  <si>
    <t>WIP</t>
  </si>
  <si>
    <t>GW</t>
  </si>
  <si>
    <t>Bank info - payee</t>
  </si>
  <si>
    <t>No value to request user input both supplier and customer</t>
  </si>
  <si>
    <t>Bank account details or Cheque</t>
  </si>
  <si>
    <t>Asset must exist in Odessa</t>
  </si>
  <si>
    <t>New asset always come from FO, not BO</t>
  </si>
  <si>
    <t>Global Sector Code</t>
  </si>
  <si>
    <t>No value to local</t>
  </si>
  <si>
    <t>Origination need to manage this automatically</t>
  </si>
  <si>
    <t>"cost center" is mandatory for EXACT</t>
  </si>
  <si>
    <t>ORIG</t>
  </si>
  <si>
    <t xml:space="preserve">" Is insurance Required" as "NO" </t>
  </si>
  <si>
    <t>Make user confuse when need insurance</t>
  </si>
  <si>
    <t>Is deal regulated flag to be set</t>
  </si>
  <si>
    <t xml:space="preserve">No value to local </t>
  </si>
  <si>
    <t>Street &lt;50 characters</t>
  </si>
  <si>
    <t>To be dev</t>
  </si>
  <si>
    <t>Odessa</t>
  </si>
  <si>
    <t>Local Long Name in TP Referential</t>
  </si>
  <si>
    <t>GW grabbed Local long name</t>
  </si>
  <si>
    <t>Invoice is mandatory</t>
  </si>
  <si>
    <t>China cannot guarantee invoice before funding</t>
  </si>
  <si>
    <t>Entity</t>
  </si>
  <si>
    <t>No repeatable invoice</t>
  </si>
  <si>
    <t>Sales contract is repeatable</t>
  </si>
  <si>
    <t>Invoice Payment Due Date  should be greater than or Equal to Invoice Issue date</t>
  </si>
  <si>
    <t>Invoice could after payment in China</t>
  </si>
  <si>
    <t>SN is mandatory</t>
  </si>
  <si>
    <t>Payee payment method as cheque</t>
  </si>
  <si>
    <t>No value to request user input payment method as no payment would be triggered by Odessa</t>
  </si>
  <si>
    <t>checklist</t>
  </si>
  <si>
    <t>Acceptable</t>
  </si>
  <si>
    <t>Fixed Term Frequency Start Date must be in Rental Period Start Date</t>
  </si>
  <si>
    <t>#</t>
  </si>
  <si>
    <t>1) Origination will add missing network relationship in TP
2) Gateway will manage multiple relationship -Jan</t>
  </si>
  <si>
    <t>Business Conflicts</t>
  </si>
  <si>
    <t>Constrains Summary</t>
  </si>
  <si>
    <t>Owner</t>
  </si>
  <si>
    <t>Rule: 
- if under same business unit, the TP shall contains different corresponding regester addresses
- if cross business unit, shall create new TP</t>
  </si>
  <si>
    <t>- "Is insurance required" mapped to "Forced place" for UK;
- Chine user need such info for message deliver in FO;
- Anish to analyse if shall default this value for China</t>
  </si>
  <si>
    <t>Default value managed in Origination-deliver to HML on Dec 10</t>
  </si>
  <si>
    <t>CMS will get AMT connect to Odessa -aims by Dec.</t>
  </si>
  <si>
    <t xml:space="preserve"> </t>
  </si>
  <si>
    <t>ETA</t>
  </si>
  <si>
    <t>2026 JAN</t>
  </si>
  <si>
    <t>2025 DEC</t>
  </si>
  <si>
    <t>2 decimals deal only</t>
  </si>
  <si>
    <t>QT-ORIG need to run 4 decimals calculation to minimum rounding</t>
  </si>
  <si>
    <t>Accept gross, allow users to input gross</t>
  </si>
  <si>
    <t>- ORIG send gross amount to Odessa, 
- ORIG round nbr up to 2 when sent to Odessa</t>
  </si>
  <si>
    <t>the 1st payment date should match the first rental due date</t>
  </si>
  <si>
    <t>First instalment due date = disbursement date (commencement date in Odessa)</t>
  </si>
  <si>
    <t xml:space="preserve">China and HKG do fixed instalment due day, ORIG allows manual adjustment now, further dev for auto paused. </t>
  </si>
  <si>
    <t>Need to check if can accept instalment from ORIG</t>
  </si>
  <si>
    <t>GW specific configure for CHN and SP 
-When in advance, frequency start date = the second instalment date in ORIG 
- When in arrears, frequency start date= the first instalment</t>
  </si>
  <si>
    <t>Default invoice data</t>
  </si>
  <si>
    <t>Bank account label=account name</t>
  </si>
  <si>
    <t>SubDivision</t>
  </si>
  <si>
    <t xml:space="preserve">Bank account label </t>
  </si>
  <si>
    <t>TP</t>
  </si>
  <si>
    <t>HKG does not has SubDivision=province</t>
  </si>
  <si>
    <t>Not enougn for China and HKG</t>
  </si>
  <si>
    <t xml:space="preserve">Currency </t>
  </si>
  <si>
    <t xml:space="preserve">Never use IBAN </t>
  </si>
  <si>
    <t>Acceptable, always use “local"</t>
  </si>
  <si>
    <t>‘- China cannot guarantee SN before funding
- ORIG needs SN to grant AMT ref #</t>
  </si>
  <si>
    <t>Option to be confirm- ORIG to default, or user to input</t>
  </si>
  <si>
    <t>- HKG be managed by GW
- CHN shall be input by user - If ORIG and TP can set Province as mandatory?</t>
  </si>
  <si>
    <t>Invoice Date should be on or before disbursement date for Odessa</t>
  </si>
  <si>
    <t>VAT code is mandatory on Cashflow</t>
  </si>
  <si>
    <t>Not mandatory in ORIG</t>
  </si>
  <si>
    <t>Third Party is mandatory on Cashflow</t>
  </si>
  <si>
    <t>Invoice amount shall equal to the sum of Assets Cost and Other Costs</t>
  </si>
  <si>
    <t>Fund to</t>
  </si>
  <si>
    <t>Contract Type</t>
  </si>
  <si>
    <t>Customer</t>
  </si>
  <si>
    <t>Vendor</t>
  </si>
  <si>
    <t>IE Company</t>
  </si>
  <si>
    <t>Contract ID</t>
  </si>
  <si>
    <t>Vendor program-Domestic DL</t>
  </si>
  <si>
    <t>Y</t>
  </si>
  <si>
    <t>QT-CHN-LE-2025-1480</t>
  </si>
  <si>
    <t>Customer &amp; Supplier</t>
  </si>
  <si>
    <t>QT-HKG-LE-2025-111</t>
  </si>
  <si>
    <t>Vendor program-Domestic SLB</t>
  </si>
  <si>
    <t>QT-CHN-LE-2025-1481</t>
  </si>
  <si>
    <t>Y,customer</t>
  </si>
  <si>
    <t>QT-CHN-LE-2025-1482</t>
  </si>
  <si>
    <t>QTSupplier</t>
  </si>
  <si>
    <t>Vendor program-Domestic HP</t>
  </si>
  <si>
    <t>QT-HKG-LE-2025-110</t>
  </si>
  <si>
    <t>Vendor program-Domestic ORV</t>
  </si>
  <si>
    <t>QT-CHN-LE-2025-1483</t>
  </si>
  <si>
    <t>Vendor program-Domestic Operating Lease</t>
  </si>
  <si>
    <t>QT-CHN-LE-2025-1484</t>
  </si>
  <si>
    <t>IE company</t>
  </si>
  <si>
    <t>Vendor program-Import DL</t>
  </si>
  <si>
    <t>QT-CHN-LE-2025-1485</t>
  </si>
  <si>
    <t>Vendor program-Import SLB</t>
  </si>
  <si>
    <t>QT-CHN-LE-2025-1486</t>
  </si>
  <si>
    <t>QT-CHN-LE-2025-1487</t>
  </si>
  <si>
    <t>Vendor program-AOR</t>
  </si>
  <si>
    <t>QT-CHN-LE-2025-1488</t>
  </si>
  <si>
    <t>Direct-Demestic DL</t>
  </si>
  <si>
    <t>QT-CHN-LE-2025-1489</t>
  </si>
  <si>
    <t>Direct-Demestic SLB</t>
  </si>
  <si>
    <t>QT-CHN-LE-2025-1490</t>
  </si>
  <si>
    <t>QT-CHN-LE-2025-1491</t>
  </si>
  <si>
    <t>QT-CHN-LE-2026-1519</t>
  </si>
  <si>
    <t>QT-CHN-LE-2026-1516</t>
  </si>
  <si>
    <t>N</t>
  </si>
  <si>
    <t>Disbursement Date cannot locates on 29,30,31</t>
  </si>
  <si>
    <t>Frequency start date</t>
  </si>
  <si>
    <t>Inovice amount does not match asset + vat</t>
  </si>
  <si>
    <t>QT-CHN-LE-2026-1503</t>
  </si>
  <si>
    <t>QT-CHN-LE-2026-1502</t>
  </si>
  <si>
    <t>QT-CHN-LE-2026-1497</t>
  </si>
  <si>
    <t>QT-CHN-LE-2026-1496</t>
  </si>
  <si>
    <t>QT-CHN-LE-2026-1494</t>
  </si>
  <si>
    <t>QT-HKG-LE-2026-112</t>
  </si>
  <si>
    <t>Hongkong - AOR</t>
  </si>
  <si>
    <t>QT-CHN-LE-2025-1434</t>
  </si>
  <si>
    <t>No invoice</t>
  </si>
  <si>
    <t>deal creation before auto invoice release</t>
  </si>
  <si>
    <t>Fixed Term Frequency Start Date</t>
  </si>
  <si>
    <t>this is an edge case where installment date is 29th and for feb month the installments date is replaced with last day of the month i.e. 28th Feb</t>
  </si>
  <si>
    <t>origination is sending the data in wrong format like below
"totalAmount": 1.7E+7,
"quantity": 1,
"unitPrice": 1.7E+7,</t>
  </si>
  <si>
    <t>Data format</t>
  </si>
  <si>
    <t>Invoice Total entered must be equal to the sum of Assets Cost and Other Costs
"totalAmount": 8849.56,
"quantity": 1,
"unitPrice": 8849.56</t>
  </si>
  <si>
    <t>Invoice amount</t>
  </si>
  <si>
    <t>Invoice Total entered must be equal to the sum of Assets Cost and Other Costs</t>
  </si>
  <si>
    <t>Invoice Total entered must be equal to the sum of Assets Cost and Other Costs - Payable Invoice</t>
  </si>
  <si>
    <t>asset details has missing serialNumber and hence asset creation in odessa failed</t>
  </si>
  <si>
    <t>SN</t>
  </si>
  <si>
    <t>No feedback</t>
  </si>
  <si>
    <t xml:space="preserve">No feedback </t>
  </si>
  <si>
    <t>Invoice Total entered must be equal to the sum of Assets Cost and Other Costs - Payable Invoice QT-CHN-LE-2025-1484</t>
  </si>
  <si>
    <t>Invoice Total entered must be equal to the sum of Assets Cost and Other Costs\",\"ExecuteAction: SubmitPayableInvoice failed for Entity (PayableInvoice) - 0</t>
  </si>
  <si>
    <t>1516 deal also now issue is related to decimal places, on updating to 2 decimal places this works</t>
  </si>
  <si>
    <t>Issue</t>
  </si>
  <si>
    <t>Feedback</t>
  </si>
  <si>
    <t>2 decimals</t>
  </si>
  <si>
    <t>Send to BO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</si>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</sst>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quotePrefix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4" fontId="0" fillId="0" borderId="0" xfId="0" applyNumberFormat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91BA-5147-44F7-9184-655C4CA19A70}">
  <dimension ref="A1:J2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" sqref="M3"/>
    </sheetView>
  </sheetViews>
  <sheetFormatPr defaultRowHeight="14.5" x14ac:dyDescent="0.35"/>
  <cols>
    <col min="1" max="1" width="3.1796875" style="2" bestFit="1" customWidth="1"/>
    <col min="2" max="2" width="35" style="3" customWidth="1"/>
    <col min="3" max="3" width="35.08984375" customWidth="1"/>
    <col min="4" max="4" width="23.81640625" customWidth="1"/>
    <col min="5" max="5" width="21.1796875" customWidth="1"/>
    <col min="6" max="6" width="18.54296875" style="2" customWidth="1"/>
    <col min="7" max="7" width="9.453125" style="2" customWidth="1"/>
    <col min="8" max="8" width="9.08984375" customWidth="1"/>
  </cols>
  <sheetData>
    <row r="1" spans="1:10" s="3" customFormat="1" x14ac:dyDescent="0.35">
      <c r="A1" s="4" t="s">
        <v>43</v>
      </c>
      <c r="B1" s="4" t="s">
        <v>46</v>
      </c>
      <c r="C1" s="4" t="s">
        <v>45</v>
      </c>
      <c r="D1" s="5" t="s">
        <v>0</v>
      </c>
      <c r="E1" s="32" t="s">
        <v>1</v>
      </c>
      <c r="F1" s="33" t="s">
        <v>2</v>
      </c>
      <c r="G1" s="4" t="s">
        <v>47</v>
      </c>
      <c r="H1" s="34" t="s">
        <v>53</v>
      </c>
    </row>
    <row r="2" spans="1:10" s="1" customFormat="1" ht="56" customHeight="1" x14ac:dyDescent="0.35">
      <c r="A2" s="6">
        <v>1</v>
      </c>
      <c r="B2" s="7" t="s">
        <v>3</v>
      </c>
      <c r="C2" s="8" t="s">
        <v>4</v>
      </c>
      <c r="D2" s="8"/>
      <c r="E2" s="9" t="s">
        <v>5</v>
      </c>
      <c r="F2" s="6" t="s">
        <v>6</v>
      </c>
      <c r="G2" s="6"/>
      <c r="H2" s="17"/>
    </row>
    <row r="3" spans="1:10" s="1" customFormat="1" ht="145" x14ac:dyDescent="0.35">
      <c r="A3" s="6">
        <v>2</v>
      </c>
      <c r="B3" s="7" t="s">
        <v>7</v>
      </c>
      <c r="C3" s="10" t="s">
        <v>8</v>
      </c>
      <c r="D3" s="8" t="s">
        <v>44</v>
      </c>
      <c r="E3" s="8" t="s">
        <v>48</v>
      </c>
      <c r="F3" s="11" t="s">
        <v>9</v>
      </c>
      <c r="G3" s="6" t="s">
        <v>10</v>
      </c>
      <c r="H3" s="17" t="s">
        <v>54</v>
      </c>
    </row>
    <row r="4" spans="1:10" s="1" customFormat="1" ht="40" customHeight="1" x14ac:dyDescent="0.35">
      <c r="A4" s="6">
        <v>3</v>
      </c>
      <c r="B4" s="7" t="s">
        <v>11</v>
      </c>
      <c r="C4" s="8" t="s">
        <v>12</v>
      </c>
      <c r="D4" s="8" t="s">
        <v>13</v>
      </c>
      <c r="E4" s="9"/>
      <c r="F4" s="6" t="s">
        <v>6</v>
      </c>
      <c r="G4" s="6"/>
      <c r="H4" s="17"/>
      <c r="J4" s="1" t="s">
        <v>52</v>
      </c>
    </row>
    <row r="5" spans="1:10" s="1" customFormat="1" ht="37" customHeight="1" x14ac:dyDescent="0.35">
      <c r="A5" s="6">
        <v>4</v>
      </c>
      <c r="B5" s="7" t="s">
        <v>14</v>
      </c>
      <c r="C5" s="8" t="s">
        <v>15</v>
      </c>
      <c r="D5" s="8" t="s">
        <v>51</v>
      </c>
      <c r="E5" s="9"/>
      <c r="F5" s="6" t="s">
        <v>6</v>
      </c>
      <c r="G5" s="6" t="s">
        <v>10</v>
      </c>
      <c r="H5" s="31" t="s">
        <v>55</v>
      </c>
    </row>
    <row r="6" spans="1:10" s="1" customFormat="1" ht="36.75" customHeight="1" x14ac:dyDescent="0.35">
      <c r="A6" s="6">
        <v>5</v>
      </c>
      <c r="B6" s="7" t="s">
        <v>16</v>
      </c>
      <c r="C6" s="8" t="s">
        <v>17</v>
      </c>
      <c r="D6" s="8" t="s">
        <v>18</v>
      </c>
      <c r="E6" s="9" t="s">
        <v>19</v>
      </c>
      <c r="F6" s="6" t="s">
        <v>9</v>
      </c>
      <c r="G6" s="6" t="s">
        <v>20</v>
      </c>
      <c r="H6" s="17" t="s">
        <v>54</v>
      </c>
    </row>
    <row r="7" spans="1:10" s="1" customFormat="1" ht="101.5" x14ac:dyDescent="0.35">
      <c r="A7" s="9">
        <v>6</v>
      </c>
      <c r="B7" s="7" t="s">
        <v>21</v>
      </c>
      <c r="C7" s="8" t="s">
        <v>22</v>
      </c>
      <c r="D7" s="12" t="s">
        <v>49</v>
      </c>
      <c r="E7" s="9"/>
      <c r="F7" s="6" t="s">
        <v>6</v>
      </c>
      <c r="G7" s="6" t="s">
        <v>10</v>
      </c>
      <c r="H7" s="17" t="s">
        <v>55</v>
      </c>
    </row>
    <row r="8" spans="1:10" s="1" customFormat="1" ht="43.5" x14ac:dyDescent="0.35">
      <c r="A8" s="6">
        <v>7</v>
      </c>
      <c r="B8" s="7" t="s">
        <v>23</v>
      </c>
      <c r="C8" s="8" t="s">
        <v>24</v>
      </c>
      <c r="D8" s="8" t="s">
        <v>50</v>
      </c>
      <c r="E8" s="9"/>
      <c r="F8" s="6" t="s">
        <v>6</v>
      </c>
      <c r="G8" s="6"/>
      <c r="H8" s="17"/>
    </row>
    <row r="9" spans="1:10" s="1" customFormat="1" x14ac:dyDescent="0.35">
      <c r="A9" s="6">
        <v>8</v>
      </c>
      <c r="B9" s="7" t="s">
        <v>25</v>
      </c>
      <c r="C9" s="8" t="s">
        <v>71</v>
      </c>
      <c r="D9" s="8"/>
      <c r="E9" s="9" t="s">
        <v>26</v>
      </c>
      <c r="F9" s="6" t="s">
        <v>6</v>
      </c>
      <c r="G9" s="6" t="s">
        <v>27</v>
      </c>
      <c r="H9" s="31" t="s">
        <v>55</v>
      </c>
    </row>
    <row r="10" spans="1:10" s="1" customFormat="1" ht="29" x14ac:dyDescent="0.35">
      <c r="A10" s="6">
        <v>9</v>
      </c>
      <c r="B10" s="7" t="s">
        <v>28</v>
      </c>
      <c r="C10" s="8"/>
      <c r="D10" s="10" t="s">
        <v>29</v>
      </c>
      <c r="E10" s="9"/>
      <c r="F10" s="6" t="s">
        <v>6</v>
      </c>
      <c r="G10" s="6"/>
      <c r="H10" s="17"/>
    </row>
    <row r="11" spans="1:10" s="1" customFormat="1" ht="29" x14ac:dyDescent="0.35">
      <c r="A11" s="6">
        <v>10</v>
      </c>
      <c r="B11" s="7" t="s">
        <v>30</v>
      </c>
      <c r="C11" s="8" t="s">
        <v>31</v>
      </c>
      <c r="D11" s="45" t="s">
        <v>65</v>
      </c>
      <c r="E11" s="9"/>
      <c r="F11" s="6" t="s">
        <v>6</v>
      </c>
      <c r="G11" s="6" t="s">
        <v>20</v>
      </c>
      <c r="H11" s="46" t="s">
        <v>55</v>
      </c>
    </row>
    <row r="12" spans="1:10" s="1" customFormat="1" ht="33.5" customHeight="1" x14ac:dyDescent="0.35">
      <c r="A12" s="6">
        <v>11</v>
      </c>
      <c r="B12" s="7" t="s">
        <v>33</v>
      </c>
      <c r="C12" s="8" t="s">
        <v>34</v>
      </c>
      <c r="D12" s="45"/>
      <c r="E12" s="8"/>
      <c r="F12" s="13" t="s">
        <v>6</v>
      </c>
      <c r="G12" s="6" t="s">
        <v>20</v>
      </c>
      <c r="H12" s="46"/>
    </row>
    <row r="13" spans="1:10" s="1" customFormat="1" ht="68" customHeight="1" x14ac:dyDescent="0.35">
      <c r="A13" s="6">
        <v>12</v>
      </c>
      <c r="B13" s="7" t="s">
        <v>35</v>
      </c>
      <c r="C13" s="8" t="s">
        <v>36</v>
      </c>
      <c r="D13" s="45"/>
      <c r="E13" s="9"/>
      <c r="F13" s="6" t="s">
        <v>6</v>
      </c>
      <c r="G13" s="6" t="s">
        <v>20</v>
      </c>
      <c r="H13" s="46"/>
    </row>
    <row r="14" spans="1:10" s="1" customFormat="1" ht="66" customHeight="1" x14ac:dyDescent="0.35">
      <c r="A14" s="6">
        <v>13</v>
      </c>
      <c r="B14" s="7" t="s">
        <v>37</v>
      </c>
      <c r="C14" s="8" t="s">
        <v>75</v>
      </c>
      <c r="D14" s="8" t="s">
        <v>76</v>
      </c>
      <c r="E14" s="18"/>
      <c r="F14" s="6" t="s">
        <v>6</v>
      </c>
      <c r="G14" s="6" t="s">
        <v>20</v>
      </c>
      <c r="H14" s="17" t="s">
        <v>54</v>
      </c>
    </row>
    <row r="15" spans="1:10" s="1" customFormat="1" ht="43.5" customHeight="1" x14ac:dyDescent="0.35">
      <c r="A15" s="6">
        <v>14</v>
      </c>
      <c r="B15" s="7" t="s">
        <v>38</v>
      </c>
      <c r="C15" s="8" t="s">
        <v>39</v>
      </c>
      <c r="D15" s="8"/>
      <c r="E15" s="8"/>
      <c r="F15" s="13" t="s">
        <v>6</v>
      </c>
      <c r="G15" s="6"/>
      <c r="H15" s="17"/>
    </row>
    <row r="16" spans="1:10" s="1" customFormat="1" ht="56.5" customHeight="1" x14ac:dyDescent="0.35">
      <c r="A16" s="9">
        <v>15</v>
      </c>
      <c r="B16" s="7" t="s">
        <v>61</v>
      </c>
      <c r="C16" s="8" t="s">
        <v>62</v>
      </c>
      <c r="D16" s="8"/>
      <c r="E16" s="8" t="s">
        <v>63</v>
      </c>
      <c r="F16" s="6" t="s">
        <v>9</v>
      </c>
      <c r="G16" s="6" t="s">
        <v>27</v>
      </c>
      <c r="H16" s="29" t="s">
        <v>55</v>
      </c>
    </row>
    <row r="17" spans="1:8" s="1" customFormat="1" ht="41" customHeight="1" x14ac:dyDescent="0.35">
      <c r="A17" s="6">
        <v>16</v>
      </c>
      <c r="B17" s="8" t="s">
        <v>40</v>
      </c>
      <c r="C17" s="8" t="s">
        <v>41</v>
      </c>
      <c r="D17" s="8"/>
      <c r="E17" s="9"/>
      <c r="F17" s="6" t="s">
        <v>6</v>
      </c>
      <c r="G17" s="6"/>
      <c r="H17" s="17"/>
    </row>
    <row r="18" spans="1:8" s="24" customFormat="1" ht="76.5" customHeight="1" x14ac:dyDescent="0.35">
      <c r="A18" s="19">
        <v>17</v>
      </c>
      <c r="B18" s="20" t="s">
        <v>42</v>
      </c>
      <c r="C18" s="21" t="s">
        <v>60</v>
      </c>
      <c r="D18" s="21" t="s">
        <v>64</v>
      </c>
      <c r="E18" s="20"/>
      <c r="F18" s="22" t="s">
        <v>6</v>
      </c>
      <c r="G18" s="23" t="s">
        <v>10</v>
      </c>
      <c r="H18" s="17" t="s">
        <v>55</v>
      </c>
    </row>
    <row r="19" spans="1:8" s="1" customFormat="1" ht="39.75" customHeight="1" x14ac:dyDescent="0.35">
      <c r="A19" s="14">
        <v>18</v>
      </c>
      <c r="B19" s="15" t="s">
        <v>56</v>
      </c>
      <c r="C19" s="15" t="s">
        <v>57</v>
      </c>
      <c r="D19" s="16" t="s">
        <v>59</v>
      </c>
      <c r="E19" s="17" t="s">
        <v>58</v>
      </c>
      <c r="F19" s="14" t="s">
        <v>9</v>
      </c>
      <c r="G19" s="14" t="s">
        <v>27</v>
      </c>
      <c r="H19" s="29" t="s">
        <v>55</v>
      </c>
    </row>
    <row r="20" spans="1:8" s="25" customFormat="1" ht="48" customHeight="1" x14ac:dyDescent="0.35">
      <c r="A20" s="27">
        <v>19</v>
      </c>
      <c r="B20" s="28" t="s">
        <v>68</v>
      </c>
      <c r="C20" s="26" t="s">
        <v>41</v>
      </c>
      <c r="D20" s="27" t="s">
        <v>66</v>
      </c>
      <c r="E20" s="27"/>
      <c r="F20" s="14" t="s">
        <v>6</v>
      </c>
      <c r="G20" s="14" t="s">
        <v>69</v>
      </c>
      <c r="H20" s="27"/>
    </row>
    <row r="21" spans="1:8" s="25" customFormat="1" ht="51.5" customHeight="1" x14ac:dyDescent="0.35">
      <c r="A21" s="27">
        <v>20</v>
      </c>
      <c r="B21" s="28" t="s">
        <v>67</v>
      </c>
      <c r="C21" s="27" t="s">
        <v>70</v>
      </c>
      <c r="D21" s="30" t="s">
        <v>77</v>
      </c>
      <c r="E21" s="27"/>
      <c r="F21" s="14" t="s">
        <v>6</v>
      </c>
      <c r="G21" s="14" t="s">
        <v>10</v>
      </c>
      <c r="H21" s="17" t="s">
        <v>55</v>
      </c>
    </row>
    <row r="22" spans="1:8" s="1" customFormat="1" ht="32.5" customHeight="1" x14ac:dyDescent="0.35">
      <c r="A22" s="14">
        <v>21</v>
      </c>
      <c r="B22" s="15" t="s">
        <v>72</v>
      </c>
      <c r="C22" s="26" t="s">
        <v>41</v>
      </c>
      <c r="D22" s="17"/>
      <c r="E22" s="17"/>
      <c r="F22" s="14" t="s">
        <v>6</v>
      </c>
      <c r="G22" s="14"/>
      <c r="H22" s="17"/>
    </row>
    <row r="23" spans="1:8" s="1" customFormat="1" ht="44.15" customHeight="1" x14ac:dyDescent="0.35">
      <c r="A23" s="14">
        <v>22</v>
      </c>
      <c r="B23" s="15" t="s">
        <v>73</v>
      </c>
      <c r="C23" s="26" t="s">
        <v>74</v>
      </c>
      <c r="D23" s="17"/>
      <c r="E23" s="17"/>
      <c r="F23" s="14" t="s">
        <v>6</v>
      </c>
      <c r="G23" s="14"/>
      <c r="H23" s="17"/>
    </row>
    <row r="24" spans="1:8" s="1" customFormat="1" ht="49" customHeight="1" x14ac:dyDescent="0.35">
      <c r="A24" s="14">
        <v>23</v>
      </c>
      <c r="B24" s="15" t="s">
        <v>78</v>
      </c>
      <c r="C24" s="17" t="s">
        <v>36</v>
      </c>
      <c r="D24" s="17"/>
      <c r="E24" s="17"/>
      <c r="F24" s="14"/>
      <c r="G24" s="14"/>
      <c r="H24" s="17"/>
    </row>
    <row r="25" spans="1:8" ht="42.5" customHeight="1" x14ac:dyDescent="0.35">
      <c r="A25" s="14">
        <v>24</v>
      </c>
      <c r="B25" s="15" t="s">
        <v>79</v>
      </c>
      <c r="C25" s="26" t="s">
        <v>80</v>
      </c>
      <c r="D25" s="17"/>
      <c r="E25" s="17"/>
      <c r="F25" s="14"/>
      <c r="G25" s="14"/>
      <c r="H25" s="17"/>
    </row>
    <row r="26" spans="1:8" s="1" customFormat="1" ht="37" customHeight="1" x14ac:dyDescent="0.35">
      <c r="A26" s="14">
        <v>25</v>
      </c>
      <c r="B26" s="15" t="s">
        <v>81</v>
      </c>
      <c r="C26" s="26" t="s">
        <v>80</v>
      </c>
      <c r="D26" s="17"/>
      <c r="E26" s="17"/>
      <c r="F26" s="14"/>
      <c r="G26" s="14"/>
      <c r="H26" s="17"/>
    </row>
    <row r="27" spans="1:8" s="1" customFormat="1" ht="51.5" customHeight="1" x14ac:dyDescent="0.35">
      <c r="A27" s="14">
        <v>26</v>
      </c>
      <c r="B27" s="15" t="s">
        <v>82</v>
      </c>
      <c r="C27" s="26"/>
      <c r="D27" s="17"/>
      <c r="E27" s="17"/>
      <c r="F27" s="14"/>
      <c r="G27" s="14"/>
      <c r="H27" s="17"/>
    </row>
  </sheetData>
  <mergeCells count="2">
    <mergeCell ref="D11:D13"/>
    <mergeCell ref="H11:H13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774120-4AD9-4AD7-A808-F08B35AFC738}">
          <x14:formula1>
            <xm:f>Sheet2!$M$13:$M$14</xm:f>
          </x14:formula1>
          <xm:sqref>F1:F1048576</xm:sqref>
        </x14:dataValidation>
        <x14:dataValidation type="list" allowBlank="1" showInputMessage="1" showErrorMessage="1" xr:uid="{9091ECAD-E4C4-4D0D-B1E4-7359DA444A9D}">
          <x14:formula1>
            <xm:f>Sheet2!$N$13:$N$17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DFC2-1D41-40C5-AF57-F0C6180A93DF}">
  <dimension ref="A1:J40"/>
  <sheetViews>
    <sheetView tabSelected="1" workbookViewId="0">
      <pane ySplit="1" topLeftCell="A3" activePane="bottomLeft" state="frozen"/>
      <selection pane="bottomLeft" activeCell="B4" sqref="B4"/>
    </sheetView>
  </sheetViews>
  <sheetFormatPr defaultRowHeight="14.5" x14ac:dyDescent="0.35"/>
  <cols>
    <col min="1" max="1" width="21" bestFit="1" customWidth="1"/>
    <col min="2" max="2" width="43.08984375" bestFit="1" customWidth="1"/>
    <col min="3" max="3" width="11" bestFit="1" customWidth="1"/>
    <col min="4" max="4" width="8.26953125" bestFit="1" customWidth="1"/>
    <col min="5" max="5" width="12.08984375" bestFit="1" customWidth="1"/>
    <col min="6" max="6" width="13.08984375" bestFit="1" customWidth="1"/>
    <col min="7" max="7" width="23.7265625" bestFit="1" customWidth="1"/>
    <col min="8" max="8" width="23.7265625" customWidth="1"/>
    <col min="9" max="9" width="28.81640625" style="39" customWidth="1"/>
    <col min="10" max="10" width="50.81640625" style="3" customWidth="1"/>
  </cols>
  <sheetData>
    <row r="1" spans="1:10" ht="16" x14ac:dyDescent="0.35">
      <c r="A1" s="37" t="s">
        <v>83</v>
      </c>
      <c r="B1" s="37" t="s">
        <v>84</v>
      </c>
      <c r="C1" s="37" t="s">
        <v>85</v>
      </c>
      <c r="D1" s="37" t="s">
        <v>86</v>
      </c>
      <c r="E1" s="37" t="s">
        <v>3</v>
      </c>
      <c r="F1" s="37" t="s">
        <v>87</v>
      </c>
      <c r="G1" s="37" t="s">
        <v>88</v>
      </c>
      <c r="H1" s="37" t="s">
        <v>153</v>
      </c>
      <c r="I1" s="37" t="s">
        <v>149</v>
      </c>
      <c r="J1" s="37" t="s">
        <v>150</v>
      </c>
    </row>
    <row r="2" spans="1:10" ht="16" x14ac:dyDescent="0.35">
      <c r="A2" s="35" t="s">
        <v>3</v>
      </c>
      <c r="B2" s="35" t="s">
        <v>89</v>
      </c>
      <c r="C2" s="35" t="s">
        <v>90</v>
      </c>
      <c r="D2" s="35" t="s">
        <v>90</v>
      </c>
      <c r="E2" s="35" t="s">
        <v>90</v>
      </c>
      <c r="F2" s="35"/>
      <c r="G2" s="35" t="s">
        <v>91</v>
      </c>
      <c r="H2" s="35"/>
      <c r="I2" s="40"/>
      <c r="J2" s="41"/>
    </row>
    <row r="3" spans="1:10" ht="43.5" x14ac:dyDescent="0.35">
      <c r="A3" s="35" t="s">
        <v>3</v>
      </c>
      <c r="B3" s="35" t="s">
        <v>89</v>
      </c>
      <c r="C3" s="35" t="s">
        <v>90</v>
      </c>
      <c r="D3" s="35" t="s">
        <v>90</v>
      </c>
      <c r="E3" s="35" t="s">
        <v>90</v>
      </c>
      <c r="F3" s="35"/>
      <c r="G3" s="35" t="s">
        <v>119</v>
      </c>
      <c r="H3" s="35" t="s">
        <v>152</v>
      </c>
      <c r="I3" s="40" t="s">
        <v>151</v>
      </c>
      <c r="J3" s="41" t="s">
        <v>148</v>
      </c>
    </row>
    <row r="4" spans="1:10" ht="16" x14ac:dyDescent="0.35">
      <c r="A4" s="35" t="s">
        <v>92</v>
      </c>
      <c r="B4" s="35" t="s">
        <v>89</v>
      </c>
      <c r="C4" s="35" t="s">
        <v>90</v>
      </c>
      <c r="D4" s="35" t="s">
        <v>90</v>
      </c>
      <c r="E4" s="35" t="s">
        <v>90</v>
      </c>
      <c r="F4" s="35"/>
      <c r="G4" s="35" t="s">
        <v>93</v>
      </c>
      <c r="H4" s="35"/>
      <c r="I4" s="40"/>
      <c r="J4" s="41"/>
    </row>
    <row r="5" spans="1:10" ht="16" x14ac:dyDescent="0.35">
      <c r="A5" s="35" t="s">
        <v>3</v>
      </c>
      <c r="B5" s="35" t="s">
        <v>94</v>
      </c>
      <c r="C5" s="35" t="s">
        <v>90</v>
      </c>
      <c r="D5" s="35" t="s">
        <v>90</v>
      </c>
      <c r="E5" s="35" t="s">
        <v>90</v>
      </c>
      <c r="F5" s="35"/>
      <c r="G5" s="35" t="s">
        <v>95</v>
      </c>
      <c r="H5" s="35"/>
      <c r="I5" s="40"/>
      <c r="J5" s="41"/>
    </row>
    <row r="6" spans="1:10" ht="16" x14ac:dyDescent="0.35">
      <c r="A6" s="35" t="s">
        <v>3</v>
      </c>
      <c r="B6" s="35" t="s">
        <v>94</v>
      </c>
      <c r="C6" s="35" t="s">
        <v>90</v>
      </c>
      <c r="D6" s="35" t="s">
        <v>90</v>
      </c>
      <c r="E6" s="35" t="s">
        <v>90</v>
      </c>
      <c r="F6" s="35"/>
      <c r="G6" s="35" t="s">
        <v>125</v>
      </c>
      <c r="H6" s="35"/>
      <c r="I6" s="40"/>
      <c r="J6" s="41"/>
    </row>
    <row r="7" spans="1:10" ht="58" x14ac:dyDescent="0.35">
      <c r="A7" s="35" t="s">
        <v>85</v>
      </c>
      <c r="B7" s="35" t="s">
        <v>94</v>
      </c>
      <c r="C7" s="35" t="s">
        <v>90</v>
      </c>
      <c r="D7" s="35" t="s">
        <v>90</v>
      </c>
      <c r="E7" s="35" t="s">
        <v>96</v>
      </c>
      <c r="F7" s="35"/>
      <c r="G7" s="35" t="s">
        <v>97</v>
      </c>
      <c r="H7" s="35" t="s">
        <v>152</v>
      </c>
      <c r="I7" s="40" t="s">
        <v>139</v>
      </c>
      <c r="J7" s="41" t="s">
        <v>147</v>
      </c>
    </row>
    <row r="8" spans="1:10" ht="16" x14ac:dyDescent="0.35">
      <c r="A8" s="35" t="s">
        <v>85</v>
      </c>
      <c r="B8" s="35" t="s">
        <v>94</v>
      </c>
      <c r="C8" s="35" t="s">
        <v>90</v>
      </c>
      <c r="D8" s="35" t="s">
        <v>90</v>
      </c>
      <c r="E8" s="35" t="s">
        <v>96</v>
      </c>
      <c r="F8" s="35"/>
      <c r="G8" s="35" t="s">
        <v>124</v>
      </c>
      <c r="H8" s="35"/>
      <c r="I8" s="40"/>
      <c r="J8" s="41"/>
    </row>
    <row r="9" spans="1:10" ht="16" x14ac:dyDescent="0.35">
      <c r="A9" s="35" t="s">
        <v>98</v>
      </c>
      <c r="B9" s="35" t="s">
        <v>99</v>
      </c>
      <c r="C9" s="35" t="s">
        <v>90</v>
      </c>
      <c r="D9" s="35" t="s">
        <v>90</v>
      </c>
      <c r="E9" s="35" t="s">
        <v>90</v>
      </c>
      <c r="F9" s="35"/>
      <c r="G9" s="35" t="s">
        <v>100</v>
      </c>
      <c r="H9" s="35"/>
      <c r="I9" s="40"/>
      <c r="J9" s="41"/>
    </row>
    <row r="10" spans="1:10" ht="16" x14ac:dyDescent="0.35">
      <c r="A10" s="35" t="s">
        <v>3</v>
      </c>
      <c r="B10" s="35" t="s">
        <v>101</v>
      </c>
      <c r="C10" s="35" t="s">
        <v>90</v>
      </c>
      <c r="D10" s="35" t="s">
        <v>90</v>
      </c>
      <c r="E10" s="35" t="s">
        <v>90</v>
      </c>
      <c r="F10" s="35"/>
      <c r="G10" s="35" t="s">
        <v>102</v>
      </c>
      <c r="H10" s="35"/>
      <c r="I10" s="40"/>
      <c r="J10" s="41"/>
    </row>
    <row r="11" spans="1:10" ht="43.5" x14ac:dyDescent="0.35">
      <c r="A11" s="35" t="s">
        <v>3</v>
      </c>
      <c r="B11" s="35" t="s">
        <v>103</v>
      </c>
      <c r="C11" s="35" t="s">
        <v>90</v>
      </c>
      <c r="D11" s="35" t="s">
        <v>90</v>
      </c>
      <c r="E11" s="35" t="s">
        <v>90</v>
      </c>
      <c r="F11" s="35"/>
      <c r="G11" s="35" t="s">
        <v>104</v>
      </c>
      <c r="H11" s="35" t="s">
        <v>152</v>
      </c>
      <c r="I11" s="40" t="s">
        <v>139</v>
      </c>
      <c r="J11" s="41" t="s">
        <v>146</v>
      </c>
    </row>
    <row r="12" spans="1:10" ht="16" x14ac:dyDescent="0.35">
      <c r="A12" s="35" t="s">
        <v>105</v>
      </c>
      <c r="B12" s="35" t="s">
        <v>106</v>
      </c>
      <c r="C12" s="35" t="s">
        <v>90</v>
      </c>
      <c r="D12" s="35" t="s">
        <v>90</v>
      </c>
      <c r="E12" s="35"/>
      <c r="F12" s="35" t="s">
        <v>90</v>
      </c>
      <c r="G12" s="35" t="s">
        <v>107</v>
      </c>
      <c r="H12" s="35"/>
      <c r="I12" s="40"/>
      <c r="J12" s="41"/>
    </row>
    <row r="13" spans="1:10" ht="16" x14ac:dyDescent="0.35">
      <c r="A13" s="35" t="s">
        <v>105</v>
      </c>
      <c r="B13" s="35" t="s">
        <v>108</v>
      </c>
      <c r="C13" s="35" t="s">
        <v>90</v>
      </c>
      <c r="D13" s="35" t="s">
        <v>90</v>
      </c>
      <c r="E13" s="35"/>
      <c r="F13" s="35" t="s">
        <v>90</v>
      </c>
      <c r="G13" s="35" t="s">
        <v>109</v>
      </c>
      <c r="H13" s="35"/>
      <c r="I13" s="40"/>
      <c r="J13" s="41"/>
    </row>
    <row r="14" spans="1:10" ht="16" x14ac:dyDescent="0.35">
      <c r="A14" s="35" t="s">
        <v>85</v>
      </c>
      <c r="B14" s="35" t="s">
        <v>108</v>
      </c>
      <c r="C14" s="35" t="s">
        <v>90</v>
      </c>
      <c r="D14" s="35" t="s">
        <v>90</v>
      </c>
      <c r="E14" s="35"/>
      <c r="F14" s="35" t="s">
        <v>90</v>
      </c>
      <c r="G14" s="35" t="s">
        <v>110</v>
      </c>
      <c r="H14" s="35"/>
      <c r="I14" s="40"/>
      <c r="J14" s="41"/>
    </row>
    <row r="15" spans="1:10" ht="16" x14ac:dyDescent="0.35">
      <c r="A15" s="35" t="s">
        <v>3</v>
      </c>
      <c r="B15" s="35" t="s">
        <v>111</v>
      </c>
      <c r="C15" s="35" t="s">
        <v>90</v>
      </c>
      <c r="D15" s="35" t="s">
        <v>90</v>
      </c>
      <c r="E15" s="35" t="s">
        <v>90</v>
      </c>
      <c r="F15" s="35"/>
      <c r="G15" s="35" t="s">
        <v>112</v>
      </c>
      <c r="H15" s="35"/>
      <c r="I15" s="40"/>
      <c r="J15" s="41"/>
    </row>
    <row r="16" spans="1:10" ht="16" x14ac:dyDescent="0.35">
      <c r="A16" s="35" t="s">
        <v>3</v>
      </c>
      <c r="B16" s="35" t="s">
        <v>130</v>
      </c>
      <c r="C16" s="35" t="s">
        <v>90</v>
      </c>
      <c r="D16" s="35"/>
      <c r="E16" s="35" t="s">
        <v>90</v>
      </c>
      <c r="F16" s="35"/>
      <c r="G16" s="35" t="s">
        <v>129</v>
      </c>
      <c r="H16" s="35" t="s">
        <v>152</v>
      </c>
      <c r="I16" s="40"/>
      <c r="J16" s="41" t="s">
        <v>145</v>
      </c>
    </row>
    <row r="17" spans="1:10" ht="29" x14ac:dyDescent="0.35">
      <c r="A17" s="35" t="s">
        <v>3</v>
      </c>
      <c r="B17" s="35" t="s">
        <v>113</v>
      </c>
      <c r="C17" s="35" t="s">
        <v>90</v>
      </c>
      <c r="D17" s="35"/>
      <c r="E17" s="35" t="s">
        <v>90</v>
      </c>
      <c r="F17" s="35"/>
      <c r="G17" s="35" t="s">
        <v>114</v>
      </c>
      <c r="H17" s="35" t="s">
        <v>152</v>
      </c>
      <c r="I17" s="40" t="s">
        <v>143</v>
      </c>
      <c r="J17" s="41" t="s">
        <v>142</v>
      </c>
    </row>
    <row r="18" spans="1:10" ht="16" x14ac:dyDescent="0.35">
      <c r="A18" s="35" t="s">
        <v>3</v>
      </c>
      <c r="B18" s="35" t="s">
        <v>113</v>
      </c>
      <c r="C18" s="35" t="s">
        <v>90</v>
      </c>
      <c r="D18" s="35"/>
      <c r="E18" s="35" t="s">
        <v>90</v>
      </c>
      <c r="F18" s="35"/>
      <c r="G18" s="36" t="s">
        <v>118</v>
      </c>
      <c r="H18" s="35" t="s">
        <v>152</v>
      </c>
      <c r="I18" s="40"/>
      <c r="J18" s="41" t="s">
        <v>144</v>
      </c>
    </row>
    <row r="19" spans="1:10" ht="29" x14ac:dyDescent="0.35">
      <c r="A19" s="35" t="s">
        <v>3</v>
      </c>
      <c r="B19" s="35" t="s">
        <v>113</v>
      </c>
      <c r="C19" s="35" t="s">
        <v>90</v>
      </c>
      <c r="D19" s="35"/>
      <c r="E19" s="35" t="s">
        <v>90</v>
      </c>
      <c r="F19" s="35"/>
      <c r="G19" s="36" t="s">
        <v>126</v>
      </c>
      <c r="H19" s="35" t="s">
        <v>152</v>
      </c>
      <c r="I19" s="40" t="s">
        <v>139</v>
      </c>
      <c r="J19" s="41" t="s">
        <v>141</v>
      </c>
    </row>
    <row r="20" spans="1:10" ht="29" x14ac:dyDescent="0.35">
      <c r="A20" s="35" t="s">
        <v>3</v>
      </c>
      <c r="B20" s="35" t="s">
        <v>113</v>
      </c>
      <c r="C20" s="35" t="s">
        <v>90</v>
      </c>
      <c r="D20" s="35"/>
      <c r="E20" s="35" t="s">
        <v>90</v>
      </c>
      <c r="F20" s="35"/>
      <c r="G20" s="36" t="s">
        <v>127</v>
      </c>
      <c r="H20" s="35" t="s">
        <v>152</v>
      </c>
      <c r="I20" s="40" t="s">
        <v>139</v>
      </c>
      <c r="J20" s="41" t="s">
        <v>140</v>
      </c>
    </row>
    <row r="21" spans="1:10" ht="72.5" x14ac:dyDescent="0.35">
      <c r="A21" s="35" t="s">
        <v>3</v>
      </c>
      <c r="B21" s="35" t="s">
        <v>113</v>
      </c>
      <c r="C21" s="35" t="s">
        <v>90</v>
      </c>
      <c r="D21" s="35"/>
      <c r="E21" s="35" t="s">
        <v>90</v>
      </c>
      <c r="F21" s="35"/>
      <c r="G21" s="36" t="s">
        <v>128</v>
      </c>
      <c r="H21" s="35" t="s">
        <v>152</v>
      </c>
      <c r="I21" s="40" t="s">
        <v>139</v>
      </c>
      <c r="J21" s="41" t="s">
        <v>138</v>
      </c>
    </row>
    <row r="22" spans="1:10" ht="72.5" x14ac:dyDescent="0.35">
      <c r="A22" s="35" t="s">
        <v>85</v>
      </c>
      <c r="B22" s="35" t="s">
        <v>115</v>
      </c>
      <c r="C22" s="35" t="s">
        <v>90</v>
      </c>
      <c r="D22" s="35"/>
      <c r="E22" s="35" t="s">
        <v>96</v>
      </c>
      <c r="F22" s="35"/>
      <c r="G22" s="35" t="s">
        <v>116</v>
      </c>
      <c r="H22" s="35" t="s">
        <v>152</v>
      </c>
      <c r="I22" s="40" t="s">
        <v>137</v>
      </c>
      <c r="J22" s="41" t="s">
        <v>136</v>
      </c>
    </row>
    <row r="23" spans="1:10" ht="16" x14ac:dyDescent="0.35">
      <c r="A23" s="35" t="s">
        <v>3</v>
      </c>
      <c r="B23" s="35" t="s">
        <v>115</v>
      </c>
      <c r="C23" s="35" t="s">
        <v>90</v>
      </c>
      <c r="D23" s="35"/>
      <c r="E23" s="35" t="s">
        <v>90</v>
      </c>
      <c r="F23" s="35"/>
      <c r="G23" s="35" t="s">
        <v>131</v>
      </c>
      <c r="H23" s="35" t="s">
        <v>152</v>
      </c>
      <c r="I23" s="42" t="s">
        <v>132</v>
      </c>
      <c r="J23" s="43" t="s">
        <v>133</v>
      </c>
    </row>
    <row r="24" spans="1:10" ht="88" customHeight="1" x14ac:dyDescent="0.35">
      <c r="A24" s="35" t="s">
        <v>85</v>
      </c>
      <c r="B24" s="35" t="s">
        <v>113</v>
      </c>
      <c r="C24" s="35" t="s">
        <v>90</v>
      </c>
      <c r="D24" s="35"/>
      <c r="E24" s="35" t="s">
        <v>96</v>
      </c>
      <c r="F24" s="35"/>
      <c r="G24" s="35" t="s">
        <v>117</v>
      </c>
      <c r="H24" s="35" t="s">
        <v>152</v>
      </c>
      <c r="I24" s="40" t="s">
        <v>134</v>
      </c>
      <c r="J24" s="43" t="s">
        <v>135</v>
      </c>
    </row>
    <row r="25" spans="1:10" x14ac:dyDescent="0.35">
      <c r="J25" s="38"/>
    </row>
    <row r="26" spans="1:10" x14ac:dyDescent="0.35">
      <c r="J26" s="38"/>
    </row>
    <row r="27" spans="1:10" x14ac:dyDescent="0.35">
      <c r="J27" s="38"/>
    </row>
    <row r="38" spans="2:2" x14ac:dyDescent="0.35">
      <c r="B38" t="s">
        <v>121</v>
      </c>
    </row>
    <row r="39" spans="2:2" x14ac:dyDescent="0.35">
      <c r="B39" t="s">
        <v>122</v>
      </c>
    </row>
    <row r="40" spans="2:2" x14ac:dyDescent="0.35">
      <c r="B40" t="s">
        <v>123</v>
      </c>
    </row>
  </sheetData>
  <autoFilter ref="A1:J42" xr:uid="{5CEADFC2-1D41-40C5-AF57-F0C6180A93DF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8626-0CEF-4886-9498-9D31A25575A0}">
  <dimension ref="G35:G37"/>
  <sheetViews>
    <sheetView workbookViewId="0">
      <selection activeCell="K44" sqref="K44"/>
    </sheetView>
  </sheetViews>
  <sheetFormatPr defaultRowHeight="14.5" x14ac:dyDescent="0.35"/>
  <cols>
    <col min="7" max="7" width="12.453125" bestFit="1" customWidth="1"/>
  </cols>
  <sheetData>
    <row r="35" spans="7:7" x14ac:dyDescent="0.35">
      <c r="G35">
        <f>16997409.27*3</f>
        <v>50992227.810000002</v>
      </c>
    </row>
    <row r="36" spans="7:7" x14ac:dyDescent="0.35">
      <c r="G36" s="44">
        <v>6628989.6200000001</v>
      </c>
    </row>
    <row r="37" spans="7:7" x14ac:dyDescent="0.35">
      <c r="G37" s="44">
        <v>57621217.43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8501-AB68-4A21-A548-1A9B8C77F659}">
  <dimension ref="M13:O17"/>
  <sheetViews>
    <sheetView workbookViewId="0">
      <selection activeCell="N28" sqref="N28"/>
    </sheetView>
  </sheetViews>
  <sheetFormatPr defaultRowHeight="14.5" x14ac:dyDescent="0.35"/>
  <sheetData>
    <row r="13" spans="13:15" x14ac:dyDescent="0.35">
      <c r="M13" t="s">
        <v>6</v>
      </c>
      <c r="N13" t="s">
        <v>20</v>
      </c>
      <c r="O13" t="s">
        <v>90</v>
      </c>
    </row>
    <row r="14" spans="13:15" x14ac:dyDescent="0.35">
      <c r="M14" t="s">
        <v>9</v>
      </c>
      <c r="N14" t="s">
        <v>10</v>
      </c>
      <c r="O14" t="s">
        <v>120</v>
      </c>
    </row>
    <row r="15" spans="13:15" x14ac:dyDescent="0.35">
      <c r="N15" t="s">
        <v>32</v>
      </c>
    </row>
    <row r="16" spans="13:15" x14ac:dyDescent="0.35">
      <c r="N16" t="s">
        <v>27</v>
      </c>
    </row>
    <row r="17" spans="14:14" x14ac:dyDescent="0.35">
      <c r="N17" t="s">
        <v>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Olina (BPCE Equipment Solutions - CN)</dc:creator>
  <cp:lastModifiedBy>LIU Olina (BPCE Equipment Solutions - CN)</cp:lastModifiedBy>
  <dcterms:created xsi:type="dcterms:W3CDTF">2025-12-05T11:20:46Z</dcterms:created>
  <dcterms:modified xsi:type="dcterms:W3CDTF">2026-04-03T08:45:07Z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aa69c8-0478-4e13-9e4c-38511e3b6774_Enabled">
    <vt:lpwstr>true</vt:lpwstr>
  </property>
  <property fmtid="{D5CDD505-2E9C-101B-9397-08002B2CF9AE}" pid="3" name="MSIP_Label_1aaa69c8-0478-4e13-9e4c-38511e3b6774_SetDate">
    <vt:lpwstr>2026-04-03T08:45:00Z</vt:lpwstr>
  </property>
  <property fmtid="{D5CDD505-2E9C-101B-9397-08002B2CF9AE}" pid="4" name="MSIP_Label_1aaa69c8-0478-4e13-9e4c-38511e3b6774_Method">
    <vt:lpwstr>Privileged</vt:lpwstr>
  </property>
  <property fmtid="{D5CDD505-2E9C-101B-9397-08002B2CF9AE}" pid="5" name="MSIP_Label_1aaa69c8-0478-4e13-9e4c-38511e3b6774_Name">
    <vt:lpwstr>1aaa69c8-0478-4e13-9e4c-38511e3b6774</vt:lpwstr>
  </property>
  <property fmtid="{D5CDD505-2E9C-101B-9397-08002B2CF9AE}" pid="6" name="MSIP_Label_1aaa69c8-0478-4e13-9e4c-38511e3b6774_SiteId">
    <vt:lpwstr>c9a7d621-4bc4-4407-b730-f428e656aa9e</vt:lpwstr>
  </property>
  <property fmtid="{D5CDD505-2E9C-101B-9397-08002B2CF9AE}" pid="7" name="MSIP_Label_1aaa69c8-0478-4e13-9e4c-38511e3b6774_ActionId">
    <vt:lpwstr>5867ff80-4ee2-45de-97a3-5276eb231dd5</vt:lpwstr>
  </property>
  <property fmtid="{D5CDD505-2E9C-101B-9397-08002B2CF9AE}" pid="8" name="MSIP_Label_1aaa69c8-0478-4e13-9e4c-38511e3b6774_ContentBits">
    <vt:lpwstr>0</vt:lpwstr>
  </property>
</Properties>
</file>