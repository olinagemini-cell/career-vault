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oliu111522\Downloads\"/>
    </mc:Choice>
  </mc:AlternateContent>
  <xr:revisionPtr revIDLastSave="0" documentId="13_ncr:1_{022AB3BE-2BE6-40F7-ADA3-AC812CF980B5}" xr6:coauthVersionLast="47" xr6:coauthVersionMax="47" xr10:uidLastSave="{00000000-0000-0000-0000-000000000000}"/>
  <bookViews>
    <workbookView xWindow="-110" yWindow="-110" windowWidth="19420" windowHeight="10300" tabRatio="850" xr2:uid="{E6299418-7B06-4627-B9BA-0BBB139DE717}"/>
  </bookViews>
  <sheets>
    <sheet name="China E2E scenarios" sheetId="2" r:id="rId1"/>
    <sheet name="China Integeration Data" sheetId="1" r:id="rId2"/>
    <sheet name="Odessa Field Validations" sheetId="3" r:id="rId3"/>
    <sheet name="Origination Field Validations" sheetId="4" r:id="rId4"/>
    <sheet name="Regression Scenarios(UK)" sheetId="6" r:id="rId5"/>
    <sheet name="Regression Scenarios (CH)" sheetId="12" r:id="rId6"/>
    <sheet name="Sheet1" sheetId="13" r:id="rId7"/>
    <sheet name="Deals Automated" sheetId="8" r:id="rId8"/>
    <sheet name="Test refrence - Business" sheetId="11" r:id="rId9"/>
    <sheet name="China MasterTestcases" sheetId="9" r:id="rId10"/>
    <sheet name="QT-CHN-TESTING-COE-26071" sheetId="10" r:id="rId11"/>
  </sheets>
  <definedNames>
    <definedName name="_xlnm._FilterDatabase" localSheetId="1" hidden="1">'China Integeration Data'!$A$1:$CT$34</definedName>
    <definedName name="_xlnm._FilterDatabase" localSheetId="7" hidden="1">'Deals Automated'!$A$1:$H$43</definedName>
    <definedName name="_xlnm._FilterDatabase" localSheetId="2" hidden="1">'Odessa Field Validations'!$A$2:$J$2</definedName>
    <definedName name="_xlnm._FilterDatabase" localSheetId="4" hidden="1">'Regression Scenarios(UK)'!$A$1:$C$1</definedName>
  </definedNames>
  <calcPr calcId="191028"/>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P4" i="1" l="1"/>
  <c r="CP5" i="1"/>
  <c r="CP6" i="1"/>
  <c r="CP7" i="1"/>
  <c r="CP8" i="1"/>
  <c r="CP9" i="1"/>
  <c r="CP10" i="1"/>
  <c r="CP11" i="1"/>
  <c r="CP12" i="1"/>
  <c r="CP13" i="1"/>
  <c r="CP14" i="1"/>
  <c r="CP15" i="1"/>
  <c r="CP16" i="1"/>
  <c r="CP17" i="1"/>
  <c r="CP18" i="1"/>
  <c r="CP19" i="1"/>
  <c r="CP20" i="1"/>
  <c r="CP21" i="1"/>
  <c r="CP22" i="1"/>
  <c r="CP23" i="1"/>
  <c r="CP24" i="1"/>
  <c r="CP25" i="1"/>
  <c r="CP26" i="1"/>
  <c r="CP27" i="1"/>
  <c r="CP28" i="1"/>
  <c r="CP29" i="1"/>
  <c r="CP30" i="1"/>
  <c r="CP31" i="1"/>
  <c r="CP32" i="1"/>
  <c r="CP33" i="1"/>
  <c r="CP34" i="1"/>
  <c r="CP3" i="1"/>
  <c r="CT4" i="1"/>
  <c r="CT5" i="1"/>
  <c r="CT6" i="1"/>
  <c r="CT7" i="1"/>
  <c r="CT8" i="1"/>
  <c r="CT9" i="1"/>
  <c r="CT10" i="1"/>
  <c r="CT11" i="1"/>
  <c r="CT12" i="1"/>
  <c r="CT13" i="1"/>
  <c r="CT14" i="1"/>
  <c r="CT15" i="1"/>
  <c r="CT16" i="1"/>
  <c r="CT17" i="1"/>
  <c r="CT18" i="1"/>
  <c r="CT19" i="1"/>
  <c r="CT20" i="1"/>
  <c r="CT21" i="1"/>
  <c r="CT22" i="1"/>
  <c r="CT23" i="1"/>
  <c r="CT24" i="1"/>
  <c r="CT25" i="1"/>
  <c r="CT26" i="1"/>
  <c r="CT27" i="1"/>
  <c r="CT28" i="1"/>
  <c r="CT29" i="1"/>
  <c r="CT30" i="1"/>
  <c r="CT31" i="1"/>
  <c r="CT32" i="1"/>
  <c r="CT33" i="1"/>
  <c r="CT34" i="1"/>
  <c r="CO4" i="1"/>
  <c r="CO5" i="1"/>
  <c r="CO6" i="1"/>
  <c r="CO7" i="1"/>
  <c r="CO8" i="1"/>
  <c r="CO9" i="1"/>
  <c r="CO10" i="1"/>
  <c r="CO11" i="1"/>
  <c r="CO12" i="1"/>
  <c r="CO13" i="1"/>
  <c r="CO14" i="1"/>
  <c r="CO15" i="1"/>
  <c r="CO16" i="1"/>
  <c r="CO17" i="1"/>
  <c r="CO18" i="1"/>
  <c r="CO19" i="1"/>
  <c r="CO20" i="1"/>
  <c r="CO21" i="1"/>
  <c r="CO22" i="1"/>
  <c r="CO23" i="1"/>
  <c r="CO24" i="1"/>
  <c r="CO25" i="1"/>
  <c r="CO26" i="1"/>
  <c r="CO27" i="1"/>
  <c r="CO28" i="1"/>
  <c r="CO29" i="1"/>
  <c r="CO30" i="1"/>
  <c r="CO31" i="1"/>
  <c r="CO32" i="1"/>
  <c r="CO33" i="1"/>
  <c r="CO34" i="1"/>
  <c r="CO3" i="1"/>
  <c r="CM4" i="1"/>
  <c r="CM5" i="1"/>
  <c r="CM6" i="1"/>
  <c r="CM7" i="1"/>
  <c r="CM8" i="1"/>
  <c r="CM9" i="1"/>
  <c r="CM10" i="1"/>
  <c r="CM11" i="1"/>
  <c r="CM12" i="1"/>
  <c r="CM13" i="1"/>
  <c r="CM14" i="1"/>
  <c r="CM15" i="1"/>
  <c r="CM16" i="1"/>
  <c r="CM17" i="1"/>
  <c r="CM18" i="1"/>
  <c r="CM19" i="1"/>
  <c r="CM20" i="1"/>
  <c r="CM21" i="1"/>
  <c r="CM22" i="1"/>
  <c r="CM23" i="1"/>
  <c r="CM24" i="1"/>
  <c r="CM25" i="1"/>
  <c r="CM26" i="1"/>
  <c r="CM27" i="1"/>
  <c r="CM28" i="1"/>
  <c r="CM29" i="1"/>
  <c r="CM30" i="1"/>
  <c r="CM31" i="1"/>
  <c r="CM32" i="1"/>
  <c r="CM33" i="1"/>
  <c r="CM34" i="1"/>
  <c r="CM3" i="1"/>
  <c r="CL4" i="1"/>
  <c r="CL5" i="1"/>
  <c r="CL6" i="1"/>
  <c r="CL7" i="1"/>
  <c r="CL8" i="1"/>
  <c r="CL9" i="1"/>
  <c r="CL10" i="1"/>
  <c r="CL11" i="1"/>
  <c r="CL12" i="1"/>
  <c r="CL13" i="1"/>
  <c r="CL14" i="1"/>
  <c r="CL15" i="1"/>
  <c r="CL16" i="1"/>
  <c r="CL17" i="1"/>
  <c r="CL18" i="1"/>
  <c r="CL19" i="1"/>
  <c r="CL20" i="1"/>
  <c r="CL21" i="1"/>
  <c r="CL22" i="1"/>
  <c r="CL23" i="1"/>
  <c r="CL24" i="1"/>
  <c r="CL25" i="1"/>
  <c r="CL26" i="1"/>
  <c r="CL27" i="1"/>
  <c r="CL28" i="1"/>
  <c r="CL29" i="1"/>
  <c r="CL30" i="1"/>
  <c r="CL31" i="1"/>
  <c r="CL32" i="1"/>
  <c r="CL33" i="1"/>
  <c r="CL34" i="1"/>
  <c r="CL3" i="1"/>
  <c r="CK4" i="1"/>
  <c r="CK5" i="1"/>
  <c r="CK6" i="1"/>
  <c r="CK7" i="1"/>
  <c r="CK8" i="1"/>
  <c r="CK9" i="1"/>
  <c r="CK10" i="1"/>
  <c r="CK11" i="1"/>
  <c r="CK12" i="1"/>
  <c r="CK13" i="1"/>
  <c r="CK14" i="1"/>
  <c r="CK15" i="1"/>
  <c r="CK16" i="1"/>
  <c r="CK17" i="1"/>
  <c r="CK18" i="1"/>
  <c r="CK19" i="1"/>
  <c r="CK20" i="1"/>
  <c r="CK21" i="1"/>
  <c r="CK22" i="1"/>
  <c r="CK23" i="1"/>
  <c r="CK24" i="1"/>
  <c r="CK25" i="1"/>
  <c r="CK26" i="1"/>
  <c r="CK27" i="1"/>
  <c r="CK28" i="1"/>
  <c r="CK29" i="1"/>
  <c r="CK30" i="1"/>
  <c r="CK31" i="1"/>
  <c r="CK32" i="1"/>
  <c r="CK33" i="1"/>
  <c r="CK34" i="1"/>
  <c r="CK3" i="1"/>
  <c r="CJ4" i="1"/>
  <c r="CJ5" i="1"/>
  <c r="CJ6" i="1"/>
  <c r="CJ7" i="1"/>
  <c r="CJ8" i="1"/>
  <c r="CJ9" i="1"/>
  <c r="CJ10" i="1"/>
  <c r="CJ11" i="1"/>
  <c r="CJ12" i="1"/>
  <c r="CJ13" i="1"/>
  <c r="CJ14" i="1"/>
  <c r="CJ15" i="1"/>
  <c r="CJ16" i="1"/>
  <c r="CJ17" i="1"/>
  <c r="CJ18" i="1"/>
  <c r="CJ19" i="1"/>
  <c r="CJ20" i="1"/>
  <c r="CJ21" i="1"/>
  <c r="CJ22" i="1"/>
  <c r="CJ23" i="1"/>
  <c r="CJ24" i="1"/>
  <c r="CJ25" i="1"/>
  <c r="CJ26" i="1"/>
  <c r="CJ27" i="1"/>
  <c r="CJ28" i="1"/>
  <c r="CJ29" i="1"/>
  <c r="CJ30" i="1"/>
  <c r="CJ31" i="1"/>
  <c r="CJ32" i="1"/>
  <c r="CJ33" i="1"/>
  <c r="CJ34" i="1"/>
  <c r="CJ3" i="1"/>
  <c r="CE4" i="1"/>
  <c r="CE5" i="1"/>
  <c r="CE6" i="1"/>
  <c r="CE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C4" i="1"/>
  <c r="CC5" i="1"/>
  <c r="CC6" i="1"/>
  <c r="CC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B4" i="1"/>
  <c r="CB5" i="1"/>
  <c r="CB6" i="1"/>
  <c r="CB7" i="1"/>
  <c r="CB8" i="1"/>
  <c r="CB9" i="1"/>
  <c r="CB10" i="1"/>
  <c r="CB11" i="1"/>
  <c r="CB12" i="1"/>
  <c r="CB13" i="1"/>
  <c r="CB15" i="1"/>
  <c r="CB16" i="1"/>
  <c r="CB17" i="1"/>
  <c r="CB18" i="1"/>
  <c r="CB19" i="1"/>
  <c r="CB20" i="1"/>
  <c r="CB21" i="1"/>
  <c r="CB22" i="1"/>
  <c r="CB23" i="1"/>
  <c r="CB24" i="1"/>
  <c r="CB25" i="1"/>
  <c r="CB28" i="1"/>
  <c r="CB29" i="1"/>
  <c r="CB30" i="1"/>
  <c r="CB31" i="1"/>
  <c r="CB33" i="1"/>
  <c r="CB34" i="1"/>
  <c r="BY4" i="1"/>
  <c r="BY5" i="1"/>
  <c r="BY6" i="1"/>
  <c r="BY7" i="1"/>
  <c r="BY8" i="1"/>
  <c r="BY9" i="1"/>
  <c r="BY10" i="1"/>
  <c r="BY11" i="1"/>
  <c r="BY12" i="1"/>
  <c r="BY13" i="1"/>
  <c r="BY14" i="1"/>
  <c r="BY15" i="1"/>
  <c r="BY16" i="1"/>
  <c r="BY17" i="1"/>
  <c r="BY18" i="1"/>
  <c r="BY19" i="1"/>
  <c r="BY20" i="1"/>
  <c r="BY21" i="1"/>
  <c r="BY22" i="1"/>
  <c r="BY23" i="1"/>
  <c r="BY24" i="1"/>
  <c r="BY25" i="1"/>
  <c r="BY26" i="1"/>
  <c r="BY27" i="1"/>
  <c r="BY28" i="1"/>
  <c r="BY29" i="1"/>
  <c r="BY30" i="1"/>
  <c r="BY31" i="1"/>
  <c r="BY32" i="1"/>
  <c r="BY33" i="1"/>
  <c r="BY34" i="1"/>
  <c r="BW4" i="1"/>
  <c r="BW5" i="1"/>
  <c r="BW6" i="1"/>
  <c r="BW7" i="1"/>
  <c r="BW8" i="1"/>
  <c r="BW9" i="1"/>
  <c r="BW10" i="1"/>
  <c r="BW11" i="1"/>
  <c r="BW12" i="1"/>
  <c r="BW13" i="1"/>
  <c r="BW14" i="1"/>
  <c r="BW15" i="1"/>
  <c r="BW16" i="1"/>
  <c r="BW17" i="1"/>
  <c r="BW18" i="1"/>
  <c r="BW19" i="1"/>
  <c r="BW20" i="1"/>
  <c r="BW21" i="1"/>
  <c r="BW22" i="1"/>
  <c r="BW23" i="1"/>
  <c r="BW24" i="1"/>
  <c r="BW25" i="1"/>
  <c r="BW26" i="1"/>
  <c r="BW27" i="1"/>
  <c r="BW28" i="1"/>
  <c r="BW29" i="1"/>
  <c r="BW30" i="1"/>
  <c r="BW31" i="1"/>
  <c r="BW32" i="1"/>
  <c r="BW33" i="1"/>
  <c r="BW34" i="1"/>
  <c r="BT4" i="1"/>
  <c r="BT5" i="1"/>
  <c r="BT6" i="1"/>
  <c r="BT7" i="1"/>
  <c r="BT8" i="1"/>
  <c r="BT9" i="1"/>
  <c r="BT10" i="1"/>
  <c r="BT11" i="1"/>
  <c r="BT12" i="1"/>
  <c r="BT13" i="1"/>
  <c r="BT14" i="1"/>
  <c r="BT15" i="1"/>
  <c r="BT16" i="1"/>
  <c r="BT17" i="1"/>
  <c r="BT18" i="1"/>
  <c r="BT19" i="1"/>
  <c r="BT20" i="1"/>
  <c r="BT21" i="1"/>
  <c r="BT22" i="1"/>
  <c r="BT23" i="1"/>
  <c r="BT24" i="1"/>
  <c r="BT25" i="1"/>
  <c r="BT26" i="1"/>
  <c r="BT27" i="1"/>
  <c r="BT28" i="1"/>
  <c r="BT29" i="1"/>
  <c r="BT30" i="1"/>
  <c r="BT31" i="1"/>
  <c r="BT32" i="1"/>
  <c r="BT33" i="1"/>
  <c r="BT34" i="1"/>
  <c r="BT3" i="1"/>
  <c r="BS4" i="1"/>
  <c r="BS5" i="1"/>
  <c r="BS6" i="1"/>
  <c r="BS7" i="1"/>
  <c r="BS8" i="1"/>
  <c r="BS9" i="1"/>
  <c r="BS10" i="1"/>
  <c r="BS11" i="1"/>
  <c r="BS12" i="1"/>
  <c r="BS13" i="1"/>
  <c r="BS14" i="1"/>
  <c r="BS15" i="1"/>
  <c r="BS16" i="1"/>
  <c r="BS17" i="1"/>
  <c r="BS18" i="1"/>
  <c r="BS19" i="1"/>
  <c r="BS20" i="1"/>
  <c r="BS21" i="1"/>
  <c r="BS22" i="1"/>
  <c r="BS23" i="1"/>
  <c r="BS24" i="1"/>
  <c r="BS25" i="1"/>
  <c r="BS26" i="1"/>
  <c r="BS27" i="1"/>
  <c r="BS28" i="1"/>
  <c r="BS29" i="1"/>
  <c r="BS30" i="1"/>
  <c r="BS31" i="1"/>
  <c r="BS32" i="1"/>
  <c r="BS33" i="1"/>
  <c r="BS34" i="1"/>
  <c r="BS3" i="1"/>
  <c r="BR4" i="1"/>
  <c r="BR5" i="1"/>
  <c r="BR6" i="1"/>
  <c r="BR7" i="1"/>
  <c r="BR8" i="1"/>
  <c r="BR9" i="1"/>
  <c r="BR10" i="1"/>
  <c r="BR11" i="1"/>
  <c r="BR12" i="1"/>
  <c r="BR13" i="1"/>
  <c r="BR14" i="1"/>
  <c r="BR15" i="1"/>
  <c r="BR16" i="1"/>
  <c r="BR17" i="1"/>
  <c r="BR18" i="1"/>
  <c r="BR19" i="1"/>
  <c r="BR20" i="1"/>
  <c r="BR21" i="1"/>
  <c r="BR22" i="1"/>
  <c r="BR23" i="1"/>
  <c r="BR24" i="1"/>
  <c r="BR25" i="1"/>
  <c r="BR26" i="1"/>
  <c r="BR27" i="1"/>
  <c r="BR28" i="1"/>
  <c r="BR29" i="1"/>
  <c r="BR30" i="1"/>
  <c r="BR31" i="1"/>
  <c r="BR32" i="1"/>
  <c r="BR33" i="1"/>
  <c r="BR34" i="1"/>
  <c r="BR3" i="1"/>
  <c r="BQ4" i="1"/>
  <c r="BQ5" i="1"/>
  <c r="BQ6" i="1"/>
  <c r="BQ7" i="1"/>
  <c r="BQ8" i="1"/>
  <c r="BQ9" i="1"/>
  <c r="BQ10" i="1"/>
  <c r="BQ11" i="1"/>
  <c r="BQ12" i="1"/>
  <c r="BQ13" i="1"/>
  <c r="BQ14" i="1"/>
  <c r="BQ15" i="1"/>
  <c r="BQ16" i="1"/>
  <c r="BQ17" i="1"/>
  <c r="BQ18" i="1"/>
  <c r="BQ19" i="1"/>
  <c r="BQ20" i="1"/>
  <c r="BQ21" i="1"/>
  <c r="BQ22" i="1"/>
  <c r="BQ23" i="1"/>
  <c r="BQ24" i="1"/>
  <c r="BQ25" i="1"/>
  <c r="BQ26" i="1"/>
  <c r="BQ27" i="1"/>
  <c r="BQ28" i="1"/>
  <c r="BQ29" i="1"/>
  <c r="BQ30" i="1"/>
  <c r="BQ31" i="1"/>
  <c r="BQ32" i="1"/>
  <c r="BQ33" i="1"/>
  <c r="BQ34" i="1"/>
  <c r="BQ3" i="1"/>
  <c r="BO4" i="1"/>
  <c r="BO5" i="1"/>
  <c r="BO6" i="1"/>
  <c r="BO7" i="1"/>
  <c r="BO8" i="1"/>
  <c r="BO9" i="1"/>
  <c r="BO10" i="1"/>
  <c r="BO11" i="1"/>
  <c r="BO12" i="1"/>
  <c r="BO13" i="1"/>
  <c r="BO14" i="1"/>
  <c r="BO15" i="1"/>
  <c r="BO16" i="1"/>
  <c r="BO17" i="1"/>
  <c r="BO18" i="1"/>
  <c r="BO19" i="1"/>
  <c r="BO20" i="1"/>
  <c r="BO21" i="1"/>
  <c r="BO22" i="1"/>
  <c r="BO23" i="1"/>
  <c r="BO24" i="1"/>
  <c r="BO25" i="1"/>
  <c r="BO26" i="1"/>
  <c r="BO27" i="1"/>
  <c r="BO28" i="1"/>
  <c r="BO29" i="1"/>
  <c r="BO30" i="1"/>
  <c r="BO31" i="1"/>
  <c r="BO32" i="1"/>
  <c r="BO33" i="1"/>
  <c r="BO34" i="1"/>
  <c r="BO3" i="1"/>
  <c r="BN4" i="1"/>
  <c r="BN5" i="1"/>
  <c r="BN6" i="1"/>
  <c r="BN7" i="1"/>
  <c r="BN8" i="1"/>
  <c r="BN9" i="1"/>
  <c r="BN10" i="1"/>
  <c r="BN11" i="1"/>
  <c r="BN12" i="1"/>
  <c r="BN13" i="1"/>
  <c r="BN14" i="1"/>
  <c r="BN15" i="1"/>
  <c r="BN16" i="1"/>
  <c r="BN17" i="1"/>
  <c r="BN18" i="1"/>
  <c r="BN19" i="1"/>
  <c r="BN20" i="1"/>
  <c r="BN21" i="1"/>
  <c r="BN22" i="1"/>
  <c r="BN23" i="1"/>
  <c r="BN24" i="1"/>
  <c r="BN25" i="1"/>
  <c r="BN26" i="1"/>
  <c r="BN27" i="1"/>
  <c r="BN28" i="1"/>
  <c r="BN29" i="1"/>
  <c r="BN30" i="1"/>
  <c r="BN31" i="1"/>
  <c r="BN32" i="1"/>
  <c r="BN33" i="1"/>
  <c r="BN34" i="1"/>
  <c r="BN3" i="1"/>
  <c r="BM4" i="1"/>
  <c r="BM5" i="1"/>
  <c r="BM6" i="1"/>
  <c r="BM7" i="1"/>
  <c r="BM8" i="1"/>
  <c r="BM9" i="1"/>
  <c r="BM10" i="1"/>
  <c r="BM11" i="1"/>
  <c r="BM12" i="1"/>
  <c r="BM13" i="1"/>
  <c r="BM14" i="1"/>
  <c r="BM15" i="1"/>
  <c r="BM16" i="1"/>
  <c r="BM17" i="1"/>
  <c r="BM18" i="1"/>
  <c r="BM19" i="1"/>
  <c r="BM20" i="1"/>
  <c r="BM21" i="1"/>
  <c r="BM22" i="1"/>
  <c r="BM23" i="1"/>
  <c r="BM24" i="1"/>
  <c r="BM25" i="1"/>
  <c r="BM26" i="1"/>
  <c r="BM27" i="1"/>
  <c r="BM28" i="1"/>
  <c r="BM29" i="1"/>
  <c r="BM30" i="1"/>
  <c r="BM31" i="1"/>
  <c r="BM32" i="1"/>
  <c r="BM33" i="1"/>
  <c r="BM34" i="1"/>
  <c r="BM3" i="1"/>
  <c r="BL4" i="1"/>
  <c r="BL5" i="1"/>
  <c r="BL6" i="1"/>
  <c r="BL7" i="1"/>
  <c r="BL8" i="1"/>
  <c r="BL9" i="1"/>
  <c r="BL10" i="1"/>
  <c r="BL11" i="1"/>
  <c r="BL12" i="1"/>
  <c r="BL13" i="1"/>
  <c r="BL14" i="1"/>
  <c r="BL15" i="1"/>
  <c r="BL16" i="1"/>
  <c r="BL17" i="1"/>
  <c r="BL18" i="1"/>
  <c r="BL19" i="1"/>
  <c r="BL20" i="1"/>
  <c r="BL21" i="1"/>
  <c r="BL22" i="1"/>
  <c r="BL23" i="1"/>
  <c r="BL24" i="1"/>
  <c r="BL25" i="1"/>
  <c r="BL26" i="1"/>
  <c r="BL27" i="1"/>
  <c r="BL28" i="1"/>
  <c r="BL29" i="1"/>
  <c r="BL30" i="1"/>
  <c r="BL31" i="1"/>
  <c r="BL32" i="1"/>
  <c r="BL33" i="1"/>
  <c r="BL34" i="1"/>
  <c r="BL3" i="1"/>
  <c r="BK4" i="1"/>
  <c r="BK5" i="1"/>
  <c r="BK6" i="1"/>
  <c r="BK7" i="1"/>
  <c r="BK8" i="1"/>
  <c r="BK9" i="1"/>
  <c r="BK10" i="1"/>
  <c r="BK11" i="1"/>
  <c r="BK12" i="1"/>
  <c r="BK13" i="1"/>
  <c r="BK14" i="1"/>
  <c r="BK15" i="1"/>
  <c r="BK16" i="1"/>
  <c r="BK17" i="1"/>
  <c r="BK18" i="1"/>
  <c r="BK19" i="1"/>
  <c r="BK20" i="1"/>
  <c r="BK21" i="1"/>
  <c r="BK22" i="1"/>
  <c r="BK23" i="1"/>
  <c r="BK24" i="1"/>
  <c r="BK25" i="1"/>
  <c r="BK26" i="1"/>
  <c r="BK27" i="1"/>
  <c r="BK28" i="1"/>
  <c r="BK29" i="1"/>
  <c r="BK30" i="1"/>
  <c r="BK31" i="1"/>
  <c r="BK32" i="1"/>
  <c r="BK33" i="1"/>
  <c r="BK34" i="1"/>
  <c r="BK3" i="1"/>
  <c r="BJ4" i="1"/>
  <c r="BJ5" i="1"/>
  <c r="BJ6" i="1"/>
  <c r="BJ7" i="1"/>
  <c r="BJ8" i="1"/>
  <c r="BJ9" i="1"/>
  <c r="BJ10" i="1"/>
  <c r="BJ11" i="1"/>
  <c r="BJ12" i="1"/>
  <c r="BJ13" i="1"/>
  <c r="BJ14" i="1"/>
  <c r="BJ15" i="1"/>
  <c r="BJ16" i="1"/>
  <c r="BJ17" i="1"/>
  <c r="BJ18" i="1"/>
  <c r="BJ19" i="1"/>
  <c r="BJ20" i="1"/>
  <c r="BJ21" i="1"/>
  <c r="BJ22" i="1"/>
  <c r="BJ23" i="1"/>
  <c r="BJ24" i="1"/>
  <c r="BJ25" i="1"/>
  <c r="BJ26" i="1"/>
  <c r="BJ27" i="1"/>
  <c r="BJ28" i="1"/>
  <c r="BJ29" i="1"/>
  <c r="BJ30" i="1"/>
  <c r="BJ31" i="1"/>
  <c r="BJ32" i="1"/>
  <c r="BJ33" i="1"/>
  <c r="BJ34" i="1"/>
  <c r="BJ3" i="1"/>
  <c r="BG4" i="1"/>
  <c r="BG5" i="1"/>
  <c r="BG6" i="1"/>
  <c r="BG7" i="1"/>
  <c r="BG8" i="1"/>
  <c r="BG9" i="1"/>
  <c r="BG10" i="1"/>
  <c r="BG11" i="1"/>
  <c r="BG12" i="1"/>
  <c r="BG13" i="1"/>
  <c r="BG14" i="1"/>
  <c r="BG15" i="1"/>
  <c r="BG16" i="1"/>
  <c r="BG17" i="1"/>
  <c r="BG18" i="1"/>
  <c r="BG19" i="1"/>
  <c r="BG20" i="1"/>
  <c r="BG21" i="1"/>
  <c r="BG22" i="1"/>
  <c r="BG23" i="1"/>
  <c r="BG24" i="1"/>
  <c r="BG25" i="1"/>
  <c r="BG26" i="1"/>
  <c r="BG27" i="1"/>
  <c r="BG28" i="1"/>
  <c r="BG29" i="1"/>
  <c r="BG30" i="1"/>
  <c r="BG31" i="1"/>
  <c r="BG32" i="1"/>
  <c r="BG33" i="1"/>
  <c r="BG34" i="1"/>
  <c r="BG3" i="1"/>
  <c r="BF4" i="1"/>
  <c r="BF5" i="1"/>
  <c r="BF6" i="1"/>
  <c r="BF7" i="1"/>
  <c r="BF8" i="1"/>
  <c r="BF9" i="1"/>
  <c r="BF10" i="1"/>
  <c r="BF11" i="1"/>
  <c r="BF12" i="1"/>
  <c r="BF13" i="1"/>
  <c r="BF14" i="1"/>
  <c r="BF15" i="1"/>
  <c r="BF16" i="1"/>
  <c r="BF17" i="1"/>
  <c r="BF18" i="1"/>
  <c r="BF19" i="1"/>
  <c r="BF20" i="1"/>
  <c r="BF21" i="1"/>
  <c r="BF22" i="1"/>
  <c r="BF23" i="1"/>
  <c r="BF24" i="1"/>
  <c r="BF25" i="1"/>
  <c r="BF26" i="1"/>
  <c r="BF27" i="1"/>
  <c r="BF28" i="1"/>
  <c r="BF29" i="1"/>
  <c r="BF30" i="1"/>
  <c r="BF31" i="1"/>
  <c r="BF32" i="1"/>
  <c r="BF33" i="1"/>
  <c r="BF34" i="1"/>
  <c r="BF3" i="1"/>
  <c r="BE4" i="1"/>
  <c r="BE5" i="1"/>
  <c r="BE6" i="1"/>
  <c r="BE7" i="1"/>
  <c r="BE8" i="1"/>
  <c r="BE9" i="1"/>
  <c r="BE10" i="1"/>
  <c r="BE11" i="1"/>
  <c r="BE12" i="1"/>
  <c r="BE13" i="1"/>
  <c r="BE14" i="1"/>
  <c r="BE15" i="1"/>
  <c r="BE16" i="1"/>
  <c r="BE17" i="1"/>
  <c r="BE18" i="1"/>
  <c r="BE19" i="1"/>
  <c r="BE20" i="1"/>
  <c r="BE21" i="1"/>
  <c r="BE22" i="1"/>
  <c r="BE23" i="1"/>
  <c r="BE24" i="1"/>
  <c r="BE25" i="1"/>
  <c r="BE26" i="1"/>
  <c r="BE27" i="1"/>
  <c r="BE28" i="1"/>
  <c r="BE29" i="1"/>
  <c r="BE30" i="1"/>
  <c r="BE31" i="1"/>
  <c r="BE32" i="1"/>
  <c r="BE33" i="1"/>
  <c r="BE34" i="1"/>
  <c r="BE3" i="1"/>
  <c r="BD4"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 i="1"/>
  <c r="BB4" i="1"/>
  <c r="BB5" i="1"/>
  <c r="BB6" i="1"/>
  <c r="BB7" i="1"/>
  <c r="BB8" i="1"/>
  <c r="BB9" i="1"/>
  <c r="BB10" i="1"/>
  <c r="BB11" i="1"/>
  <c r="BB12" i="1"/>
  <c r="BB13" i="1"/>
  <c r="BB14" i="1"/>
  <c r="BB15" i="1"/>
  <c r="BB16" i="1"/>
  <c r="BB17" i="1"/>
  <c r="BB18" i="1"/>
  <c r="BB19" i="1"/>
  <c r="BB20" i="1"/>
  <c r="BB21" i="1"/>
  <c r="BB22" i="1"/>
  <c r="BB23" i="1"/>
  <c r="BB24" i="1"/>
  <c r="BB25" i="1"/>
  <c r="BB26" i="1"/>
  <c r="BB27" i="1"/>
  <c r="BB28" i="1"/>
  <c r="BB29" i="1"/>
  <c r="BB30" i="1"/>
  <c r="BB31" i="1"/>
  <c r="BB32" i="1"/>
  <c r="BB33" i="1"/>
  <c r="BB34" i="1"/>
  <c r="BB3" i="1"/>
  <c r="AZ4" i="1"/>
  <c r="AZ5"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 i="1"/>
  <c r="AX34"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 i="1"/>
  <c r="AW4" i="1"/>
  <c r="AW5" i="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4" i="1"/>
  <c r="AU5" i="1"/>
  <c r="AU6" i="1"/>
  <c r="AU7" i="1"/>
  <c r="AU3" i="1"/>
  <c r="CE3" i="1"/>
  <c r="BW3" i="1"/>
  <c r="CT3" i="1"/>
  <c r="CB3" i="1"/>
  <c r="AT3" i="1"/>
  <c r="CC3" i="1" s="1"/>
  <c r="BY3" i="1"/>
</calcChain>
</file>

<file path=xl/sharedStrings.xml><?xml version="1.0" encoding="utf-8"?>
<sst xmlns="http://schemas.openxmlformats.org/spreadsheetml/2006/main" count="3536" uniqueCount="1161">
  <si>
    <t xml:space="preserve">Test Case Reference </t>
  </si>
  <si>
    <t>Pre-requisites</t>
  </si>
  <si>
    <t>User Role Performing task</t>
  </si>
  <si>
    <t>Given</t>
  </si>
  <si>
    <t>Data steps</t>
  </si>
  <si>
    <t>Data Input</t>
  </si>
  <si>
    <t>Then</t>
  </si>
  <si>
    <t>Comments</t>
  </si>
  <si>
    <t>Status</t>
  </si>
  <si>
    <t>CHN-E2E-Direct-Lease-01</t>
  </si>
  <si>
    <t>TC19</t>
  </si>
  <si>
    <t>Given User is on Landing Page and initiates an easy quote simulation for single asset</t>
  </si>
  <si>
    <t xml:space="preserve">When the user selects an asset model as </t>
  </si>
  <si>
    <t>CX104-7+L - HEIDELBERG - Printing Machines Accessories</t>
  </si>
  <si>
    <t xml:space="preserve">Asset model is selected </t>
  </si>
  <si>
    <t xml:space="preserve">And selects product type as </t>
  </si>
  <si>
    <t>Finance Lease China</t>
  </si>
  <si>
    <t xml:space="preserve">Product type is selected </t>
  </si>
  <si>
    <t>And starts quote simulation</t>
  </si>
  <si>
    <t xml:space="preserve">quote simulation is started </t>
  </si>
  <si>
    <t xml:space="preserve">And enters Asset Unit Price as </t>
  </si>
  <si>
    <t>Asset Unit price is entered</t>
  </si>
  <si>
    <t xml:space="preserve">And enters Asset Quantity as </t>
  </si>
  <si>
    <t>Asset quantity is entered</t>
  </si>
  <si>
    <t xml:space="preserve">And retrieves supplier details by name as </t>
  </si>
  <si>
    <t>HEIDELBERG GRAPHICS(BEIJING) COMPANY LIMITED</t>
  </si>
  <si>
    <t>Supplier deatails are retrieved</t>
  </si>
  <si>
    <t xml:space="preserve">And selects campaign as </t>
  </si>
  <si>
    <t>Direct lease</t>
  </si>
  <si>
    <t xml:space="preserve">Campaign is selected </t>
  </si>
  <si>
    <t>And retrieves client details by name as</t>
  </si>
  <si>
    <t>DONGGUAN YUE MINGHUA PRINTING PACKAG CO.,LTD.</t>
  </si>
  <si>
    <t>Clientname is retrieved</t>
  </si>
  <si>
    <t xml:space="preserve">And enters Dealer Name such as </t>
  </si>
  <si>
    <t xml:space="preserve">HEIDELBERG CHINA CO.,LTD  </t>
  </si>
  <si>
    <t>Dealer Name is entered</t>
  </si>
  <si>
    <t>And enters Down Payment Percentage</t>
  </si>
  <si>
    <t>Downpayment percentage is entered</t>
  </si>
  <si>
    <t xml:space="preserve">And enters Tenor as </t>
  </si>
  <si>
    <t>Tenor is entered</t>
  </si>
  <si>
    <t xml:space="preserve">And selects Installment frequency  </t>
  </si>
  <si>
    <t>Monthly</t>
  </si>
  <si>
    <t>Frequency is selected</t>
  </si>
  <si>
    <t>selects rate type as Floating</t>
  </si>
  <si>
    <t>float rate check box is checked</t>
  </si>
  <si>
    <t xml:space="preserve">And enters residual values as </t>
  </si>
  <si>
    <t>residual value is entered</t>
  </si>
  <si>
    <t>And selects repayment type as Advance</t>
  </si>
  <si>
    <t xml:space="preserve">Advance </t>
  </si>
  <si>
    <t>Repayment type is selected</t>
  </si>
  <si>
    <t>And select residual value in last installment as Yes</t>
  </si>
  <si>
    <t>And selects seasonal payment</t>
  </si>
  <si>
    <t>standard seasonal payment is selected other required values are updated</t>
  </si>
  <si>
    <t>And clicks on Calculate IRR button</t>
  </si>
  <si>
    <t>calculate IRR button is clicked</t>
  </si>
  <si>
    <t>And in advanced parameters enters values for 
commissionfee
managementfee
subsidy
vendordepositamount
securitydepositamount
securitydepositrefundmonth</t>
  </si>
  <si>
    <t xml:space="preserve">CF: 64,173.10
MF:80,000.00
Subsidy: 0.00
VDA: 2,000.00
SDA:00.00
securitydepositrefundmonth: 36
</t>
  </si>
  <si>
    <t xml:space="preserve">Values are entered for 
commissionfee
managementfee
subsidy
vendordepositamount
securitydepositamount
securitydepositrefundmonth </t>
  </si>
  <si>
    <t>And clicks on Calculate simulations button</t>
  </si>
  <si>
    <t>Calculate simulations button is clicked</t>
  </si>
  <si>
    <t>Then simulation options are displayed with the first one selected for the FL quote</t>
  </si>
  <si>
    <t>And financed amount and instalment amount is calculated for the first option</t>
  </si>
  <si>
    <t>When the user clicks on Send to SGEF button</t>
  </si>
  <si>
    <t>Then Update customer information dialogue box opens up</t>
  </si>
  <si>
    <t>And user inputs customer information and clicks Send to SGEF</t>
  </si>
  <si>
    <t>Then quotation is simulated and sent to SGEF</t>
  </si>
  <si>
    <t>When user navigates to Origination module and searches for the Quote</t>
  </si>
  <si>
    <t>Then associated quote details are retrieved</t>
  </si>
  <si>
    <t>And DealId,Phase and QuotationDate are verified</t>
  </si>
  <si>
    <t xml:space="preserve">details are verified </t>
  </si>
  <si>
    <t xml:space="preserve">And in AssetDetails section verify Asset model </t>
  </si>
  <si>
    <t>Asset model  is verified</t>
  </si>
  <si>
    <t xml:space="preserve">and  verify Asset quantity </t>
  </si>
  <si>
    <t>Asset quantity  is verified</t>
  </si>
  <si>
    <t xml:space="preserve">And in TransactionStructure section  verify Financed Amount (with stored value),   </t>
  </si>
  <si>
    <t xml:space="preserve">Financed Amount  is verified </t>
  </si>
  <si>
    <t xml:space="preserve">And  verify Term </t>
  </si>
  <si>
    <t>tenor is verified</t>
  </si>
  <si>
    <t xml:space="preserve">and verify Periodicity </t>
  </si>
  <si>
    <t>and Periodicity as  installmentfrequency are verified</t>
  </si>
  <si>
    <t xml:space="preserve">And in  CounterParty section verify Client </t>
  </si>
  <si>
    <t xml:space="preserve">clientname is verified </t>
  </si>
  <si>
    <t xml:space="preserve">And verify Dealer </t>
  </si>
  <si>
    <t>dealername is verified</t>
  </si>
  <si>
    <t xml:space="preserve">and verify Supplier </t>
  </si>
  <si>
    <t>suppliername is verified</t>
  </si>
  <si>
    <t>And enter global sector code as “&lt;globalsectorcode&gt;”</t>
  </si>
  <si>
    <t>globalsectorcode is entered</t>
  </si>
  <si>
    <t xml:space="preserve">And in Exposure section verify New Request Amount </t>
  </si>
  <si>
    <t>New Request Amount  is verified</t>
  </si>
  <si>
    <t>When the user progresses the deal ahead into Analysis phase</t>
  </si>
  <si>
    <t>Then credit approval is granted and the deal progresses through the different stages of the workflow</t>
  </si>
  <si>
    <t>And deal is sent to Back Office successfully</t>
  </si>
  <si>
    <t>User navigates to Odessa  and searches for the Lease module</t>
  </si>
  <si>
    <t>Navigate to Odessa &gt; Search &gt; Lease</t>
  </si>
  <si>
    <t xml:space="preserve">QT-CHN-LE-2026-1586 </t>
  </si>
  <si>
    <t>Contract Details are displayed</t>
  </si>
  <si>
    <t>And double click to view the details</t>
  </si>
  <si>
    <t> </t>
  </si>
  <si>
    <t>Contract details will be appeared</t>
  </si>
  <si>
    <t>And check Primary details</t>
  </si>
  <si>
    <t>Customer
Sequence #
Legal Entity
Country
Currency
Deal Type
Transaction Type
Zhong Deng Status</t>
  </si>
  <si>
    <t>Primary details will be checked</t>
  </si>
  <si>
    <t>Origination</t>
  </si>
  <si>
    <t>Origination Source Type
Origination Source</t>
  </si>
  <si>
    <t>Origination details are verified</t>
  </si>
  <si>
    <t>Indirect Servicing Details</t>
  </si>
  <si>
    <t xml:space="preserve">Effective Date
Serviced
Collected
Active
</t>
  </si>
  <si>
    <t>Indirect Servicing Details details are verified</t>
  </si>
  <si>
    <t>Lease Billing</t>
  </si>
  <si>
    <t>Bill To
Remit To</t>
  </si>
  <si>
    <t>Lease Billing details are verified</t>
  </si>
  <si>
    <t>Fundings</t>
  </si>
  <si>
    <t>Vendor
Invoice date
Invpice Issue date
Due date
Payable remit to
Asset cost Paybale code
Netoff with Payable invoice</t>
  </si>
  <si>
    <t>Fundings details are verified</t>
  </si>
  <si>
    <t>Assets</t>
  </si>
  <si>
    <t>Asset cost 
Tax
Tax code
Payee Name
Amount 
Remit to</t>
  </si>
  <si>
    <t>Assets details are verified</t>
  </si>
  <si>
    <t>Stucture</t>
  </si>
  <si>
    <t>Asset cost
Serial #
Make
Model
Manufacture
#of payments
Payments Frequency
Day count convention
Advance
#of inception payments
Commencement Date
Frequency Start Date
Maturity Date
Term In Months
Customer Term In Months
Inception Payment
Total Down Payment
Down Payment
Tax Down Payment
Float Rate Lease
Resturcture On Float Rate Change</t>
  </si>
  <si>
    <t>Stucture details are verified</t>
  </si>
  <si>
    <t>Navigate to Interest Rate</t>
  </si>
  <si>
    <t>Effective date
Float Rate
Float Rate Index
Base Rate %
Spread %
Interest Rate %
Float Rate Reset Unit
First Reset Date
Move Across Month</t>
  </si>
  <si>
    <t>Navigate to Interest Rate details are verified</t>
  </si>
  <si>
    <t>And navigate to payment schedule</t>
  </si>
  <si>
    <t>Check Due Date(s)
Check Rental Amount
Check Total Payments</t>
  </si>
  <si>
    <t>And navigate to payment schedule details are verified</t>
  </si>
  <si>
    <t>Tax</t>
  </si>
  <si>
    <t>Tax code
Tax Rate</t>
  </si>
  <si>
    <t>Tax details are verified</t>
  </si>
  <si>
    <t>And navigate to blended items</t>
  </si>
  <si>
    <t>Select the row
Click View/Edit
Check Blended Item code
Check Name
Check Blended Type
Check Amount
Check Book Recognition Mode
Check Dates
Check Description
Check Payable Details – Broker details
Check Self Billing flag</t>
  </si>
  <si>
    <t xml:space="preserve"> blended items details are verified</t>
  </si>
  <si>
    <t>Accounting</t>
  </si>
  <si>
    <t>Accounting details are verified</t>
  </si>
  <si>
    <t>And navigate to Maturity Management(Only applicable if there are secondary rentals on the agreement)</t>
  </si>
  <si>
    <t xml:space="preserve">Check if Over Term is turned on…
</t>
  </si>
  <si>
    <t xml:space="preserve"> Maturity Management details are verified</t>
  </si>
  <si>
    <t xml:space="preserve">Payoff Assignment </t>
  </si>
  <si>
    <t>option TO Purchase Fee
Late Fee Template
Invoice Grace Days
Invoice Grace Days At Inception</t>
  </si>
  <si>
    <t>Payoff Assignment details are verified</t>
  </si>
  <si>
    <t xml:space="preserve">Late Fee Setup	
</t>
  </si>
  <si>
    <t>All the values</t>
  </si>
  <si>
    <t xml:space="preserve">Late Fee Setup	 details are verified
</t>
  </si>
  <si>
    <t>Third Parties</t>
  </si>
  <si>
    <t>Third Parties details are verified</t>
  </si>
  <si>
    <t>Contract Third party Relationship</t>
  </si>
  <si>
    <t xml:space="preserve">Relationship Type
Limit By
Relationship  %
Limit By Amount
Third party
Company Legal Name
Guarantee
</t>
  </si>
  <si>
    <t>Contract Third party Relationship details are verified</t>
  </si>
  <si>
    <t>And navigate to commenmcing a deal</t>
  </si>
  <si>
    <t>Click Accounting section on the left
Click Perform Classification Test
Click Compute Yield
Click Commence
If warnings, click Override Warnings and click Commence</t>
  </si>
  <si>
    <t>Deal activated confirmation message is received</t>
  </si>
  <si>
    <t>Scenario #</t>
  </si>
  <si>
    <t>Contract Type</t>
  </si>
  <si>
    <t>Country</t>
  </si>
  <si>
    <t>Sample Deals</t>
  </si>
  <si>
    <t>Quotation Tool</t>
  </si>
  <si>
    <t>Odessa</t>
  </si>
  <si>
    <t>Asset Model</t>
  </si>
  <si>
    <t>Product Type</t>
  </si>
  <si>
    <t>Asset Unit Price</t>
  </si>
  <si>
    <t>Asset Quantity</t>
  </si>
  <si>
    <t>Supplier Name</t>
  </si>
  <si>
    <t>Campaign</t>
  </si>
  <si>
    <t>Customer Name</t>
  </si>
  <si>
    <t>Acquisition Channel</t>
  </si>
  <si>
    <t>Dealer Name</t>
  </si>
  <si>
    <t>Downpayment percentage</t>
  </si>
  <si>
    <t>Tenor</t>
  </si>
  <si>
    <t>Installment frequency</t>
  </si>
  <si>
    <t>rate type</t>
  </si>
  <si>
    <t>residual value</t>
  </si>
  <si>
    <t>repayment type</t>
  </si>
  <si>
    <t>residual value in last installment</t>
  </si>
  <si>
    <t>Margin</t>
  </si>
  <si>
    <t>External interest rate</t>
  </si>
  <si>
    <t>Vat on rental</t>
  </si>
  <si>
    <t>Vat on rental percentage</t>
  </si>
  <si>
    <t>SALB</t>
  </si>
  <si>
    <t>BPCE IRR</t>
  </si>
  <si>
    <t>Currency</t>
  </si>
  <si>
    <t>Cost of fund</t>
  </si>
  <si>
    <t>Disbursement date</t>
  </si>
  <si>
    <t>First installment date</t>
  </si>
  <si>
    <t>Funding source</t>
  </si>
  <si>
    <t>Seasonal payment type</t>
  </si>
  <si>
    <t>Impact on Installments</t>
  </si>
  <si>
    <t>Commission Fee</t>
  </si>
  <si>
    <t>Management Fee</t>
  </si>
  <si>
    <t>Subsidy</t>
  </si>
  <si>
    <t>Vendor Deposit amount</t>
  </si>
  <si>
    <t>Security deposit amount</t>
  </si>
  <si>
    <t>Security deposit refund month</t>
  </si>
  <si>
    <t>All risk insurance amount</t>
  </si>
  <si>
    <t>No. of rental</t>
  </si>
  <si>
    <t>Amount</t>
  </si>
  <si>
    <t>Choose Amount/Interest only</t>
  </si>
  <si>
    <t>Start Date</t>
  </si>
  <si>
    <t>Product</t>
  </si>
  <si>
    <t>Asset Model picker</t>
  </si>
  <si>
    <t>AMT Reference</t>
  </si>
  <si>
    <t>Supplier</t>
  </si>
  <si>
    <t>Quantity</t>
  </si>
  <si>
    <t>Unit Price</t>
  </si>
  <si>
    <t>Net Amount</t>
  </si>
  <si>
    <t>Down payment</t>
  </si>
  <si>
    <t>Financed amount</t>
  </si>
  <si>
    <t>Residual value/Balloon payment</t>
  </si>
  <si>
    <t>Term</t>
  </si>
  <si>
    <t>Periodicity</t>
  </si>
  <si>
    <t>In advance/In arrear</t>
  </si>
  <si>
    <t>Installment with tax</t>
  </si>
  <si>
    <t>Banking Entity</t>
  </si>
  <si>
    <t>Rate type</t>
  </si>
  <si>
    <t>COF</t>
  </si>
  <si>
    <t>Interest rate with or without taxes?</t>
  </si>
  <si>
    <t>Irregular payments</t>
  </si>
  <si>
    <t>Payer</t>
  </si>
  <si>
    <t>Client</t>
  </si>
  <si>
    <t>Vendor</t>
  </si>
  <si>
    <t>Guarantor</t>
  </si>
  <si>
    <t>Global Sector code</t>
  </si>
  <si>
    <t>Customer</t>
  </si>
  <si>
    <t>Legal Entity</t>
  </si>
  <si>
    <t>Cost Center</t>
  </si>
  <si>
    <t>Deal type</t>
  </si>
  <si>
    <t>Transaction type</t>
  </si>
  <si>
    <t>ZhongDeng Status</t>
  </si>
  <si>
    <t>Asset Alias</t>
  </si>
  <si>
    <t>Booked Residual? or customer expected residual? or third party residual?</t>
  </si>
  <si>
    <t>Balance Financed</t>
  </si>
  <si>
    <t>Tax Amount</t>
  </si>
  <si>
    <t>Down Payment</t>
  </si>
  <si>
    <t>Advance or Arrear</t>
  </si>
  <si>
    <t># of Payments</t>
  </si>
  <si>
    <t>Payment frequency</t>
  </si>
  <si>
    <t>Inception payment</t>
  </si>
  <si>
    <t>Rate?</t>
  </si>
  <si>
    <t>Tax - VAT exemption</t>
  </si>
  <si>
    <t>Tax Code</t>
  </si>
  <si>
    <t>Tax type</t>
  </si>
  <si>
    <t>Tax rate</t>
  </si>
  <si>
    <t>TC1</t>
  </si>
  <si>
    <t>Vendor program-Domestic DL</t>
  </si>
  <si>
    <t>China</t>
  </si>
  <si>
    <t>QT-CHN-LE-2026-1535</t>
  </si>
  <si>
    <t>TruLaser Weld 5000 Basic Edition  - TRUMPF - Metal Machine Tools</t>
  </si>
  <si>
    <t>TRUMPF (CHINA) CO., LTD.</t>
  </si>
  <si>
    <t>NAILI CO.,LTD.</t>
  </si>
  <si>
    <t>International Manufacturer (IM)</t>
  </si>
  <si>
    <t xml:space="preserve">TRUMPF (CHINA) CO., LTD. </t>
  </si>
  <si>
    <t>Fixed</t>
  </si>
  <si>
    <t>Advance</t>
  </si>
  <si>
    <t>Yes</t>
  </si>
  <si>
    <t>CNY</t>
  </si>
  <si>
    <t>EIB</t>
  </si>
  <si>
    <t>Finance Lease</t>
  </si>
  <si>
    <t>IN01</t>
  </si>
  <si>
    <t>BPCE Equipment Solutions China Co Ltd</t>
  </si>
  <si>
    <t>Pending or Confirmed</t>
  </si>
  <si>
    <t>CHINA_VAT</t>
  </si>
  <si>
    <t>VAT</t>
  </si>
  <si>
    <t>TC2</t>
  </si>
  <si>
    <t>Vendor program-Domestic SLB</t>
  </si>
  <si>
    <t>QT-CHN-LE-2026-1536</t>
  </si>
  <si>
    <t>SLB</t>
  </si>
  <si>
    <t>Sale and Leaseback</t>
  </si>
  <si>
    <t>QT-CHN-LE-2026-1537</t>
  </si>
  <si>
    <t>CX104-5  - HEIDELBERG - Printing Machines Accessories</t>
  </si>
  <si>
    <t>YIWU LICHEN PRINTING CO.,LTD.</t>
  </si>
  <si>
    <t>HEIDELBERG GRAPHICS (BEIJING) COMPANY LIMITED</t>
  </si>
  <si>
    <t>Floating</t>
  </si>
  <si>
    <t>QT-CHN-LE-2026-1538</t>
  </si>
  <si>
    <t>XL75-8+L  - HEIDELBERG - Printing Machines Accessories</t>
  </si>
  <si>
    <t>HEIDELBERG CHINA CO.,LTD.</t>
  </si>
  <si>
    <t>GUANGZHOU BEIDI PACKAGING &amp; PRINTING CO.,LTD.</t>
  </si>
  <si>
    <t>QT-CHN-LE-2026-1539</t>
  </si>
  <si>
    <t>TC3</t>
  </si>
  <si>
    <t>Vendor program-Domestic HP</t>
  </si>
  <si>
    <t>Hong Kong</t>
  </si>
  <si>
    <t>QT-HKG-LE-2026-118</t>
  </si>
  <si>
    <t>MAN TGX 26.520 6x2-4 LL CH - MAN - Diesel</t>
  </si>
  <si>
    <t>HKG Financial Lease (DL, SLB)</t>
  </si>
  <si>
    <t>King Long New Energy Vehicle Ltd</t>
  </si>
  <si>
    <t>Concord Bus Company Limited</t>
  </si>
  <si>
    <t>MAN TRUCK AND BUS HONG KONG LTD</t>
  </si>
  <si>
    <t>Arrears</t>
  </si>
  <si>
    <t>No</t>
  </si>
  <si>
    <t>HKD</t>
  </si>
  <si>
    <t>TC4</t>
  </si>
  <si>
    <t>QT-HKG-LE-2026-119</t>
  </si>
  <si>
    <t>TC5</t>
  </si>
  <si>
    <t>Vendor program-Domestic ORV</t>
  </si>
  <si>
    <t>QT-CHN-LE-2026-1540</t>
  </si>
  <si>
    <t>CX104-7+L  - HEIDELBERG - Printing Machines Accessories</t>
  </si>
  <si>
    <t>BEIJING XINYING PRINTING CO., LTD</t>
  </si>
  <si>
    <t>HEIDELBERG</t>
  </si>
  <si>
    <t>TC6</t>
  </si>
  <si>
    <t>Vendor program-Import DL</t>
  </si>
  <si>
    <t>QT-CHN-LE-2026-1541</t>
  </si>
  <si>
    <t>Zhejiang Wencang Technology Co., Ltd.</t>
  </si>
  <si>
    <t>TC7</t>
  </si>
  <si>
    <t>Vendor program-Import SLB</t>
  </si>
  <si>
    <t>QT-CHN-LE-2026-1542</t>
  </si>
  <si>
    <t>Dongguan Painuo Packaging Materials Co., Ltd.</t>
  </si>
  <si>
    <t>QT-CHN-LE-2026-1543</t>
  </si>
  <si>
    <t>YIWU HANLIN PRINTING AND PACKAGING CO., LTD.</t>
  </si>
  <si>
    <t>TC8</t>
  </si>
  <si>
    <t>Vendor program-AOR</t>
  </si>
  <si>
    <t>QT-CHN-LE-2026-1544</t>
  </si>
  <si>
    <t>CISCO Networking Networking - CISCO - Router or Switch</t>
  </si>
  <si>
    <t>AOR CHINA</t>
  </si>
  <si>
    <t>SHANGHAI DIGITAL CHINA LIMITED COMPANY</t>
  </si>
  <si>
    <t>AOR</t>
  </si>
  <si>
    <t>DONEWIN INFORMATION TECHNOLOGY (SHANGHAI) CO., LTD.</t>
  </si>
  <si>
    <t>CISCO CHINA COMPANY LIMITED</t>
  </si>
  <si>
    <t>Unknown</t>
  </si>
  <si>
    <t>Irregular</t>
  </si>
  <si>
    <t>Interest only</t>
  </si>
  <si>
    <t>1
1
10
1
11
1
11</t>
  </si>
  <si>
    <t>0.00
3,406,791.67
0.00
3,406,791.67
0.00
3,406,791.66
0.00</t>
  </si>
  <si>
    <t>Amount
Amount
Amount
Amount
Amount
Amount
Amount</t>
  </si>
  <si>
    <t>2025-11-28
2025-12-28
2026-01-28
2026-11-28
2026-12-28
2027-11-28
2027-12-28</t>
  </si>
  <si>
    <t>Assignment Of Receivables</t>
  </si>
  <si>
    <t>Unsecured Loan</t>
  </si>
  <si>
    <t>TC9</t>
  </si>
  <si>
    <t>Direct-Demestic DL</t>
  </si>
  <si>
    <t>QT-CHN-LE-2026-1545</t>
  </si>
  <si>
    <t>HEIDELBERG GRAPHICS(BEIJING) COMPANY LIMITED GUANGZHOU BRANCH</t>
  </si>
  <si>
    <t>DONGGUAN YUE MINGHUA PRINTING PACKAGING CO.,LTD.</t>
  </si>
  <si>
    <t>Direct</t>
  </si>
  <si>
    <t>QT-CHN-LE-2026-1546</t>
  </si>
  <si>
    <t>QT-CHN-LE-2026-1547</t>
  </si>
  <si>
    <t>CX-S 16  - Still - Other Warehouse Equipment</t>
  </si>
  <si>
    <t>SHANGHAI BAOLONG AUTOMOBILE TECHNOLOGY CO., LTD</t>
  </si>
  <si>
    <t>QT-CHN-LE-2026-1548</t>
  </si>
  <si>
    <t>QT-CHN-LE-2026-1549</t>
  </si>
  <si>
    <t>TC10</t>
  </si>
  <si>
    <t>Direct-Demestic SLB</t>
  </si>
  <si>
    <t>QT-CHN-LE-2026-1550</t>
  </si>
  <si>
    <t xml:space="preserve">BHS Corrugated MACHINERY(Shanghai) Co., Ltd. </t>
  </si>
  <si>
    <t>HARBIN SHENGHE PACKAGING PRODUCTS CO., LTD</t>
  </si>
  <si>
    <t>Quaterly</t>
  </si>
  <si>
    <t>QT-CHN-LE-2026-1551</t>
  </si>
  <si>
    <t>SOFTWARE-CISCO  - CISCO - IT Software: Non-Subscription</t>
  </si>
  <si>
    <t>BEIJING AIPUHAIDE PRINTING CO.,LTD.</t>
  </si>
  <si>
    <t>TC11</t>
  </si>
  <si>
    <t>SLB with Mortgage-CHN- Check:Constant payment</t>
  </si>
  <si>
    <t>QT-CHN-LE-2026-1552</t>
  </si>
  <si>
    <t>TRUMPF (CHINA) CO., LTD</t>
  </si>
  <si>
    <t>TC12</t>
  </si>
  <si>
    <t>DL with Mortgage-CHN</t>
  </si>
  <si>
    <t>QT-CHN-LE-2026-1553</t>
  </si>
  <si>
    <t>TC13</t>
  </si>
  <si>
    <t>SLB with irregular payment-CHN</t>
  </si>
  <si>
    <t>QT-CHN-LE-2026-1554</t>
  </si>
  <si>
    <t>Irregular Rentals</t>
  </si>
  <si>
    <t>12
12</t>
  </si>
  <si>
    <t>100.00
0.00</t>
  </si>
  <si>
    <t>Amount
Unknown</t>
  </si>
  <si>
    <t>2026-02-11
2027-02-11</t>
  </si>
  <si>
    <t>TC14</t>
  </si>
  <si>
    <t>DL with irregular payment-CHN</t>
  </si>
  <si>
    <t>QT-CHN-LE-2026-1555</t>
  </si>
  <si>
    <t>3
4
5</t>
  </si>
  <si>
    <t>100.00
20.00
0.00</t>
  </si>
  <si>
    <t>Amount
Amount
Unknown</t>
  </si>
  <si>
    <t>2026-02-12
2026-05-12
2026-09-12</t>
  </si>
  <si>
    <t>TC15</t>
  </si>
  <si>
    <t>AOR with Interest-CHN</t>
  </si>
  <si>
    <t>QT-CHN-LE-2026-1556</t>
  </si>
  <si>
    <t>CSI LEASING (SHENZHEN) LTD</t>
  </si>
  <si>
    <t>0.00
3,506,791.67
0.00
3,406,791.67
0.00
3,406,791.66
0.00</t>
  </si>
  <si>
    <t>2026-02-12
2026-03-12
2026-04-12
2027-02-12
2027-03-12
2028-02-12
2028-03-12</t>
  </si>
  <si>
    <t>TC16</t>
  </si>
  <si>
    <t>AOR with irregular payment-CHN</t>
  </si>
  <si>
    <t>QT-CHN-LE-2026-1557</t>
  </si>
  <si>
    <t>TC17</t>
  </si>
  <si>
    <t>DL with multi--different assets-CHN</t>
  </si>
  <si>
    <t>QT-CHN-LE-2026-1558</t>
  </si>
  <si>
    <t>HEIDELBERG CX 104-9+LY-1+L - HEIDELBERG - Pre-Printing Equipment</t>
  </si>
  <si>
    <t>TC18</t>
  </si>
  <si>
    <t>SLB with PG,CG,vendor first loss guarantee</t>
  </si>
  <si>
    <t>QT-CHN-LE-2026-1559</t>
  </si>
  <si>
    <t>Direct lease, pay in advance, with Personal Guarantor and Corporate Guarantor, contact information, multi assets and asset location, with downpayment, security deposit, vendor commission, management fee, option to purchase</t>
  </si>
  <si>
    <t>QT-CHN-LE-2026-1586</t>
  </si>
  <si>
    <t>HEIDELBERG CHINA CO.,LTD</t>
  </si>
  <si>
    <t>QT-CHN-LE-2026-1609</t>
  </si>
  <si>
    <t>PCs &amp; Tablets  - CSI LEASING - Laptop</t>
  </si>
  <si>
    <t>Corning (Shanghai) Management Co Ltd</t>
  </si>
  <si>
    <t>QT-CHN-LE-2026-1621</t>
  </si>
  <si>
    <t>HEIDELBERG CHINA LTD.</t>
  </si>
  <si>
    <t>QT-HKG-LE-2026-133</t>
  </si>
  <si>
    <t>B8R LE 4X2  - Volvo Buses - Diesel</t>
  </si>
  <si>
    <t>VOLVO BUS HONG KONG LIMITED</t>
  </si>
  <si>
    <t>KWOON CHUNG MOTORS COMPANY LTD</t>
  </si>
  <si>
    <t>SL #</t>
  </si>
  <si>
    <t>Document Page Reference</t>
  </si>
  <si>
    <t>Odessa Back Office</t>
  </si>
  <si>
    <t>Screen</t>
  </si>
  <si>
    <t>Tab</t>
  </si>
  <si>
    <t>Field Name</t>
  </si>
  <si>
    <t>Field Name in Origination</t>
  </si>
  <si>
    <t>Validated</t>
  </si>
  <si>
    <t>Field / Default Value</t>
  </si>
  <si>
    <t>Value Validation / Mapping</t>
  </si>
  <si>
    <t>Comments from Business</t>
  </si>
  <si>
    <t>Page 7</t>
  </si>
  <si>
    <t>Lease</t>
  </si>
  <si>
    <t>Primary Details</t>
  </si>
  <si>
    <t>Client Name</t>
  </si>
  <si>
    <t>Validate that this value is matching with client name given in QT</t>
  </si>
  <si>
    <t>ORIG-Third parties-Summary-Client-Name</t>
  </si>
  <si>
    <t>Sequence #</t>
  </si>
  <si>
    <t>Deal ID</t>
  </si>
  <si>
    <r>
      <rPr>
        <b/>
        <sz val="10"/>
        <color rgb="FF000000"/>
        <rFont val="Aptos Display"/>
        <family val="2"/>
        <scheme val="major"/>
      </rPr>
      <t xml:space="preserve">V1: </t>
    </r>
    <r>
      <rPr>
        <sz val="10"/>
        <color rgb="FF000000"/>
        <rFont val="Aptos Display"/>
        <family val="2"/>
        <scheme val="major"/>
      </rPr>
      <t xml:space="preserve">Validate that this value is matching with Origination ID generated in QT 
</t>
    </r>
    <r>
      <rPr>
        <b/>
        <sz val="10"/>
        <color rgb="FF000000"/>
        <rFont val="Aptos Display"/>
        <family val="2"/>
        <scheme val="major"/>
      </rPr>
      <t>V2:</t>
    </r>
    <r>
      <rPr>
        <sz val="10"/>
        <color rgb="FF000000"/>
        <rFont val="Aptos Display"/>
        <family val="2"/>
        <scheme val="major"/>
      </rPr>
      <t xml:space="preserve"> If Lease is created in Odessa Back office directly, this should be defaulted to Customer #-1</t>
    </r>
  </si>
  <si>
    <r>
      <rPr>
        <sz val="10"/>
        <color rgb="FF000000"/>
        <rFont val="Aptos Display"/>
        <family val="2"/>
        <scheme val="major"/>
      </rPr>
      <t xml:space="preserve">V1: ORIG-Deal ID
</t>
    </r>
    <r>
      <rPr>
        <sz val="10"/>
        <color rgb="FFFF0000"/>
        <rFont val="Aptos Display"/>
        <family val="2"/>
        <scheme val="major"/>
      </rPr>
      <t>V2: allow users to modify</t>
    </r>
  </si>
  <si>
    <r>
      <rPr>
        <sz val="10"/>
        <color rgb="FF000000"/>
        <rFont val="Aptos Display"/>
        <family val="2"/>
        <scheme val="major"/>
      </rPr>
      <t xml:space="preserve">After selecting line of business, this field should be enabled and select value </t>
    </r>
    <r>
      <rPr>
        <b/>
        <sz val="10"/>
        <color rgb="FF000000"/>
        <rFont val="Aptos Display"/>
        <family val="2"/>
        <scheme val="major"/>
      </rPr>
      <t>BPCE Equipment Solutions China Co Ltd</t>
    </r>
  </si>
  <si>
    <t>ORIG-Entity</t>
  </si>
  <si>
    <t>Get from Entity</t>
  </si>
  <si>
    <r>
      <rPr>
        <sz val="10"/>
        <color rgb="FF000000"/>
        <rFont val="Aptos Display"/>
        <family val="2"/>
        <scheme val="major"/>
      </rPr>
      <t xml:space="preserve">User should be able select </t>
    </r>
    <r>
      <rPr>
        <b/>
        <sz val="10"/>
        <color rgb="FF000000"/>
        <rFont val="Aptos Display"/>
        <family val="2"/>
        <scheme val="major"/>
      </rPr>
      <t>China</t>
    </r>
    <r>
      <rPr>
        <sz val="10"/>
        <color rgb="FF000000"/>
        <rFont val="Aptos Display"/>
        <family val="2"/>
        <scheme val="major"/>
      </rPr>
      <t xml:space="preserve"> after clicking spyglass </t>
    </r>
  </si>
  <si>
    <t>when entity=China, Country=China; when entity=Hongkong, Country=HKG</t>
  </si>
  <si>
    <t>Contract currency</t>
  </si>
  <si>
    <r>
      <rPr>
        <sz val="10"/>
        <color rgb="FF000000"/>
        <rFont val="Aptos Display"/>
        <family val="2"/>
        <scheme val="major"/>
      </rPr>
      <t xml:space="preserve">Should be defaulted </t>
    </r>
    <r>
      <rPr>
        <b/>
        <sz val="10"/>
        <color rgb="FF000000"/>
        <rFont val="Aptos Display"/>
        <family val="2"/>
        <scheme val="major"/>
      </rPr>
      <t>CNY</t>
    </r>
    <r>
      <rPr>
        <sz val="10"/>
        <color rgb="FF000000"/>
        <rFont val="Aptos Display"/>
        <family val="2"/>
        <scheme val="major"/>
      </rPr>
      <t xml:space="preserve"> after selecting line of business </t>
    </r>
  </si>
  <si>
    <t>ORIG-Main info-Transaction structure-Transaction parameters-Contract currency</t>
  </si>
  <si>
    <t>Deal Type</t>
  </si>
  <si>
    <t>1) China FL=Finance Lease
2) China AOR= Unsecured Loan</t>
  </si>
  <si>
    <t>Validate that this matching with 
campgains selected in QT 
ex: Direct Lease in QT | Finance Lease in Odessa BO</t>
  </si>
  <si>
    <t>QT-Campaigns available
1) China FL=Finance Lease
2) China AOR= Unsecured Loan</t>
  </si>
  <si>
    <t>Transaction Type</t>
  </si>
  <si>
    <t>Direct lease = Direct Lease
SLB = Sale and Leaseback
AOR = Assignment Of Receivables</t>
  </si>
  <si>
    <t xml:space="preserve"> Validate that this matching with 
campgains selected in QT 
ex: Direct Lease in QT |Direct Lease in Odessa BO</t>
  </si>
  <si>
    <t>QT-Campaigns available</t>
  </si>
  <si>
    <t>Zhong Deng Status</t>
  </si>
  <si>
    <t>Pending or Confirmed based on job run</t>
  </si>
  <si>
    <t xml:space="preserve">should be defaulted pending </t>
  </si>
  <si>
    <t>always="Pending"</t>
  </si>
  <si>
    <t>Page 8</t>
  </si>
  <si>
    <t>Origination Source Type</t>
  </si>
  <si>
    <r>
      <rPr>
        <sz val="10"/>
        <color rgb="FF000000"/>
        <rFont val="Aptos Display"/>
        <family val="2"/>
        <scheme val="major"/>
      </rPr>
      <t xml:space="preserve">should be </t>
    </r>
    <r>
      <rPr>
        <b/>
        <sz val="10"/>
        <color rgb="FF000000"/>
        <rFont val="Aptos Display"/>
        <family val="2"/>
        <scheme val="major"/>
      </rPr>
      <t>Direct</t>
    </r>
    <r>
      <rPr>
        <sz val="10"/>
        <color rgb="FF000000"/>
        <rFont val="Aptos Display"/>
        <family val="2"/>
        <scheme val="major"/>
      </rPr>
      <t xml:space="preserve"> if Origination channel value is Direct 
Should be </t>
    </r>
    <r>
      <rPr>
        <b/>
        <sz val="10"/>
        <color rgb="FF000000"/>
        <rFont val="Aptos Display"/>
        <family val="2"/>
        <scheme val="major"/>
      </rPr>
      <t>Vendor</t>
    </r>
    <r>
      <rPr>
        <sz val="10"/>
        <color rgb="FF000000"/>
        <rFont val="Aptos Display"/>
        <family val="2"/>
        <scheme val="major"/>
      </rPr>
      <t xml:space="preserve"> if Origination channel values are INTERNATIONAL_MANUFACTURER,
  INTERNATIONAL_LESSOR,
  NATIONAL_LESSOR,
  LOCAL_RELATIONSHIP,
  BANK,
  SYNDICATION</t>
    </r>
  </si>
  <si>
    <t>Origination Source</t>
  </si>
  <si>
    <t>Vendor Name</t>
  </si>
  <si>
    <t>This should be value for Dealer selected in Quotation Tool</t>
  </si>
  <si>
    <t>ORIG-Third parties-Summary-Vendor-Name</t>
  </si>
  <si>
    <t>Effective Date</t>
  </si>
  <si>
    <t>Fix due date Rule</t>
  </si>
  <si>
    <t>Serviced</t>
  </si>
  <si>
    <t>???</t>
  </si>
  <si>
    <t>always="Yes"</t>
  </si>
  <si>
    <t>Collected</t>
  </si>
  <si>
    <t>Active</t>
  </si>
  <si>
    <t>Bill To</t>
  </si>
  <si>
    <t xml:space="preserve">Validate that Bill to of the Customer is selected here </t>
  </si>
  <si>
    <t>ORIG-Main info-Transaction structure-Transaction parameters-Instalment schedule-Payer</t>
  </si>
  <si>
    <t>Remit To</t>
  </si>
  <si>
    <t>when entity= China, always="BPCE-CNY"; when entity= Hongkong, always="BPCE-HKD"</t>
  </si>
  <si>
    <t>Validate that Remit to of th BPCE china is selected here</t>
  </si>
  <si>
    <t>Page 9</t>
  </si>
  <si>
    <t>Supplier / Payee</t>
  </si>
  <si>
    <t>vendor.name</t>
  </si>
  <si>
    <t>ORIG-Main info-Asset-Asset details- Invoices- Invoices- Payee</t>
  </si>
  <si>
    <t>Invoice date</t>
  </si>
  <si>
    <t>Invoice Issue Date</t>
  </si>
  <si>
    <t>ORIG-Main info-Asset-Asset details- Invoices- Invoices-Issue date</t>
  </si>
  <si>
    <t>Invoice Issue date</t>
  </si>
  <si>
    <t>Validate that this value is issue date under invoice tab of the deal in origination</t>
  </si>
  <si>
    <t>Due date</t>
  </si>
  <si>
    <t>Payment Due Date</t>
  </si>
  <si>
    <t>Validate that this value is Payment due date under invoice tab of the deal in origination</t>
  </si>
  <si>
    <t>ORIG-Main info-Asset-Asset details- Invoices- Invoices-Payment due date</t>
  </si>
  <si>
    <t>Payable remit to</t>
  </si>
  <si>
    <t>Payee</t>
  </si>
  <si>
    <t>Validate that this is remit to of the Dealer selected in the QT</t>
  </si>
  <si>
    <t>Asset cost Paybale code</t>
  </si>
  <si>
    <t>Asset cose payable code configured for CH</t>
  </si>
  <si>
    <t>Default value</t>
  </si>
  <si>
    <t>Netoff with Payable invoice</t>
  </si>
  <si>
    <t>should be set to True for all contracts</t>
  </si>
  <si>
    <t>Page 10</t>
  </si>
  <si>
    <t>Asset and others costs</t>
  </si>
  <si>
    <t xml:space="preserve">Asset cost </t>
  </si>
  <si>
    <t>This value should be Net amount in the Asset tab of the deal in origination</t>
  </si>
  <si>
    <t>ORIG-Main info-Asset-Asset details-Amount-Net amount</t>
  </si>
  <si>
    <t>tax matrix configuration</t>
  </si>
  <si>
    <t>ORIG-Main info-Asset-Asset details-VAT-Amount</t>
  </si>
  <si>
    <t>Tax code</t>
  </si>
  <si>
    <t xml:space="preserve">Configured VAT tax code for china </t>
  </si>
  <si>
    <t>Payee Name</t>
  </si>
  <si>
    <t>Supplier name provided in th QT</t>
  </si>
  <si>
    <t xml:space="preserve">Amount </t>
  </si>
  <si>
    <t>it should be matching with Invoice amount per asset in origination</t>
  </si>
  <si>
    <t>ORIG-Main info-Asset-Asset details- Invoices- Total invoice amount</t>
  </si>
  <si>
    <t>Remit to</t>
  </si>
  <si>
    <t>remit to of the supplier provided in the QT</t>
  </si>
  <si>
    <t>Page 11</t>
  </si>
  <si>
    <t>Lease Asset</t>
  </si>
  <si>
    <t>Asset cost</t>
  </si>
  <si>
    <t>ORIG-Main info-Transaction structure-Transaction parameters-Asset</t>
  </si>
  <si>
    <t>Serial #</t>
  </si>
  <si>
    <t>ORIG-Main info-Asset-Asset details- Invoices- Invoices-Serial number</t>
  </si>
  <si>
    <t>Make</t>
  </si>
  <si>
    <t>Config</t>
  </si>
  <si>
    <t>first 10 digits of the asset selected in the QT</t>
  </si>
  <si>
    <t>ORIG-Main info-Asset-Asset details-Asset-Asset model picker-SubSector</t>
  </si>
  <si>
    <t>Model</t>
  </si>
  <si>
    <t>Chars of the asset selected in the QT</t>
  </si>
  <si>
    <t>ORIG-Main info-Asset-Asset details-Asset-Asset model picker-Sector</t>
  </si>
  <si>
    <t>Manufacture</t>
  </si>
  <si>
    <t>Page 12</t>
  </si>
  <si>
    <t>#of payments</t>
  </si>
  <si>
    <t>Validate that this value is matching with  tenor provied in QT</t>
  </si>
  <si>
    <t>ORIG-Main info-Transaction structure-Transaction parameters-Number of payments or installments</t>
  </si>
  <si>
    <t>Payments Frequency</t>
  </si>
  <si>
    <t>Validate that this value is matching with Installment frequency  provided in QT</t>
  </si>
  <si>
    <t>ORIG-Main info-Transaction structure-Transaction parameters-Periodicity</t>
  </si>
  <si>
    <t>Day count convention</t>
  </si>
  <si>
    <t xml:space="preserve">30/360 by default </t>
  </si>
  <si>
    <t xml:space="preserve">Validate with repayment value provided  in the QT </t>
  </si>
  <si>
    <t>ORIG-Main info-Transaction structure-Transaction parameters-In advance/In arrear</t>
  </si>
  <si>
    <t>#of inception payments</t>
  </si>
  <si>
    <t>when in advance, =1</t>
  </si>
  <si>
    <t>Commencement Date</t>
  </si>
  <si>
    <t>Validate that this date is matching with date of deal started</t>
  </si>
  <si>
    <t>Frequency Start Date</t>
  </si>
  <si>
    <t>Maturity Date</t>
  </si>
  <si>
    <t>Validate that this date is commencement date + frequency * Terms</t>
  </si>
  <si>
    <t>Term In Months</t>
  </si>
  <si>
    <t>ORIG-Main info-Transaction structure-Transaction parameters-Term (Months)</t>
  </si>
  <si>
    <t>Customer Term In Months</t>
  </si>
  <si>
    <t>Inception Payment</t>
  </si>
  <si>
    <t>ORIG-Main info-Transaction structure-Transaction parameters-First Installment /(1+VAT rate)</t>
  </si>
  <si>
    <t>Total Down Payment</t>
  </si>
  <si>
    <t>Downpayment amout provided in QT</t>
  </si>
  <si>
    <t>ORIG-Main info-Transaction structure-Transaction parameters-Downpayment*(1+VAT rate)</t>
  </si>
  <si>
    <t>ORIG-Main info-Transaction structure-Transaction parameters-Downpayment</t>
  </si>
  <si>
    <t>Tax Down Payment</t>
  </si>
  <si>
    <t>ORIG-Main info-Transaction structure-Transaction parameters-Installments VAT code</t>
  </si>
  <si>
    <t>Float Rate Lease</t>
  </si>
  <si>
    <t>validate that this value is set to value you set in QT for  rate type as Floating</t>
  </si>
  <si>
    <t>ORIG-Main info-Transaction structure-Transaction parameters-Rate type, when floating, =Yes</t>
  </si>
  <si>
    <t>Resturcture On Float Rate Change</t>
  </si>
  <si>
    <t>Page 13</t>
  </si>
  <si>
    <t>Lease Interest Rate</t>
  </si>
  <si>
    <t>Effective date</t>
  </si>
  <si>
    <t>Float Rate</t>
  </si>
  <si>
    <t>Float Rate Index</t>
  </si>
  <si>
    <t>ORIG-Main info-Transaction structure-Transaction parameters-Rate type, when floating, =LPR</t>
  </si>
  <si>
    <t>Base Rate %</t>
  </si>
  <si>
    <t>ORIG-Main info-Transaction structure-Transaction parameters-Cost of funds</t>
  </si>
  <si>
    <t>Spread %</t>
  </si>
  <si>
    <t>ORIG-Main info-Transaction structure-Transaction parameters-Margin</t>
  </si>
  <si>
    <t>Interest Rate %</t>
  </si>
  <si>
    <t xml:space="preserve">ORIG-Main info-Transaction structure-Transaction parameters-Interest rate (without taxes)	</t>
  </si>
  <si>
    <t>Float Rate Reset Unit</t>
  </si>
  <si>
    <t>When LPR, Default=12</t>
  </si>
  <si>
    <t>First Reset Date</t>
  </si>
  <si>
    <t>Move Across Month</t>
  </si>
  <si>
    <t>Page 14</t>
  </si>
  <si>
    <t>Payment schedule</t>
  </si>
  <si>
    <t>Complete Payment schedule</t>
  </si>
  <si>
    <t>ORIG-Main info-Transaction structure-Installments schedule</t>
  </si>
  <si>
    <t>Page 15</t>
  </si>
  <si>
    <t>Tax Rate</t>
  </si>
  <si>
    <t>Page 16</t>
  </si>
  <si>
    <t>Blended Items</t>
  </si>
  <si>
    <t>All blended Items</t>
  </si>
  <si>
    <t xml:space="preserve">Accounting </t>
  </si>
  <si>
    <t>Transfer of Ownership</t>
  </si>
  <si>
    <t>Page 17</t>
  </si>
  <si>
    <t xml:space="preserve">Maturity Management </t>
  </si>
  <si>
    <t>Over Term</t>
  </si>
  <si>
    <t>Always set to false for china</t>
  </si>
  <si>
    <t>Page 18</t>
  </si>
  <si>
    <t>option TO Purchase Fee</t>
  </si>
  <si>
    <t>payoff template</t>
  </si>
  <si>
    <t>Late Fee Template</t>
  </si>
  <si>
    <t>Invoice Grace Days</t>
  </si>
  <si>
    <t>Invoice Grace Days At Inception</t>
  </si>
  <si>
    <t>Late Fee Setup</t>
  </si>
  <si>
    <t xml:space="preserve">Late fee template : SLB </t>
  </si>
  <si>
    <t>Page 19</t>
  </si>
  <si>
    <t>Relationship Type</t>
  </si>
  <si>
    <t>Limit By</t>
  </si>
  <si>
    <t>Relationship  %</t>
  </si>
  <si>
    <t>Limit By Amount</t>
  </si>
  <si>
    <t>Third party</t>
  </si>
  <si>
    <t>Company Legal Name</t>
  </si>
  <si>
    <t>Guarantee</t>
  </si>
  <si>
    <t>Primary details</t>
  </si>
  <si>
    <t>Party #</t>
  </si>
  <si>
    <t>SGEFTP ID</t>
  </si>
  <si>
    <t>Active/Inactive</t>
  </si>
  <si>
    <t>TP ref-Third Party Basic Info-Name Details-Local long name (Optional)</t>
  </si>
  <si>
    <t>Registration ID</t>
  </si>
  <si>
    <t>TP ref-Registrations-Registration type=00715-Code</t>
  </si>
  <si>
    <t xml:space="preserve">Customer VAT Type </t>
  </si>
  <si>
    <t>Default value=Special</t>
  </si>
  <si>
    <t>Doing Business As Name</t>
  </si>
  <si>
    <t>=English name</t>
  </si>
  <si>
    <t>Party Office Address</t>
  </si>
  <si>
    <t>Address line 1</t>
  </si>
  <si>
    <t>TP ref-Addresses-Legal Address-Local-Address line</t>
  </si>
  <si>
    <t>City</t>
  </si>
  <si>
    <t>TP ref-Addresses-Legal Address-Local-City</t>
  </si>
  <si>
    <t>State/Province</t>
  </si>
  <si>
    <t>TP ref-Addresses-Legal Address-Local-Province</t>
  </si>
  <si>
    <t>Party Home Address</t>
  </si>
  <si>
    <t>TP ref-Addresses-Additional Address-Address line</t>
  </si>
  <si>
    <t>TP ref-Addresses-Additional Address-City</t>
  </si>
  <si>
    <t>TP ref-Addresses-Additional Address-Province</t>
  </si>
  <si>
    <t>Contact Details</t>
  </si>
  <si>
    <t>Default delivery Preference</t>
  </si>
  <si>
    <t>Deliver via Email</t>
  </si>
  <si>
    <t xml:space="preserve">Default value </t>
  </si>
  <si>
    <t>Email to</t>
  </si>
  <si>
    <t xml:space="preserve">ORIG-Client-Basic information-Email </t>
  </si>
  <si>
    <t>Loan</t>
  </si>
  <si>
    <t>Profile</t>
  </si>
  <si>
    <t>Loan details</t>
  </si>
  <si>
    <t>V1: ORIG-Deal ID</t>
  </si>
  <si>
    <t>Multi Party Contract</t>
  </si>
  <si>
    <t>When instalment payer=CSI/Signify, =yes</t>
  </si>
  <si>
    <t>ZhongDebg Status</t>
  </si>
  <si>
    <t>Default value=Yes</t>
  </si>
  <si>
    <t>Loan Billing</t>
  </si>
  <si>
    <t>Loan Funding</t>
  </si>
  <si>
    <t>ORIG-Main info-Transaction structure-Transaction parameters-Amount</t>
  </si>
  <si>
    <t>Payable Remit To</t>
  </si>
  <si>
    <t>Other Cost</t>
  </si>
  <si>
    <t xml:space="preserve">Tax Amount </t>
  </si>
  <si>
    <t>Cost</t>
  </si>
  <si>
    <t>Payable Code</t>
  </si>
  <si>
    <t>Collateral Assets</t>
  </si>
  <si>
    <t>Asset Type</t>
  </si>
  <si>
    <t>Payee Detail</t>
  </si>
  <si>
    <t>Payee #</t>
  </si>
  <si>
    <t>Manufacturer</t>
  </si>
  <si>
    <t xml:space="preserve">Loan Amount </t>
  </si>
  <si>
    <t>Tax Dow Payment</t>
  </si>
  <si>
    <t>Payment Frequency</t>
  </si>
  <si>
    <t>Number of Payments</t>
  </si>
  <si>
    <t>#of Inception Payments</t>
  </si>
  <si>
    <t>Balloon Payment</t>
  </si>
  <si>
    <t>Due day</t>
  </si>
  <si>
    <t>Accounting Details</t>
  </si>
  <si>
    <t>Day Count Convention</t>
  </si>
  <si>
    <t>Loan Interest Receivable code</t>
  </si>
  <si>
    <t>Loan Interest Rate</t>
  </si>
  <si>
    <t>Payment Schedule</t>
  </si>
  <si>
    <t>Page</t>
  </si>
  <si>
    <t>Section</t>
  </si>
  <si>
    <t>Sub Section</t>
  </si>
  <si>
    <t>Origination Fields</t>
  </si>
  <si>
    <t>Mapped field in Quotation</t>
  </si>
  <si>
    <t>Fields editable in Origination</t>
  </si>
  <si>
    <t>Deal Overview</t>
  </si>
  <si>
    <t>Deal Info</t>
  </si>
  <si>
    <t>Deal Phase</t>
  </si>
  <si>
    <t>Non editable</t>
  </si>
  <si>
    <t>Financial Product</t>
  </si>
  <si>
    <t>Entity</t>
  </si>
  <si>
    <t>Opportunity ID</t>
  </si>
  <si>
    <t>Main Info</t>
  </si>
  <si>
    <t>Asset</t>
  </si>
  <si>
    <t>Editable</t>
  </si>
  <si>
    <t>AMT references</t>
  </si>
  <si>
    <t>Condition</t>
  </si>
  <si>
    <t>Unit price</t>
  </si>
  <si>
    <t>Unit asset price</t>
  </si>
  <si>
    <t>Attachment price</t>
  </si>
  <si>
    <t>Residual Value</t>
  </si>
  <si>
    <t>Residual value</t>
  </si>
  <si>
    <t>BPCE ES Residual value</t>
  </si>
  <si>
    <t>VAT on rental percentage</t>
  </si>
  <si>
    <t>Supplier VAT Code</t>
  </si>
  <si>
    <t>Is VAT financed?</t>
  </si>
  <si>
    <t>Downpayment</t>
  </si>
  <si>
    <t>Invoices</t>
  </si>
  <si>
    <t>TP Ref picker</t>
  </si>
  <si>
    <t>Invoice Number</t>
  </si>
  <si>
    <t>Issue date</t>
  </si>
  <si>
    <t>Delivery date</t>
  </si>
  <si>
    <t>Payment due date</t>
  </si>
  <si>
    <t>payee</t>
  </si>
  <si>
    <t>payee payment method</t>
  </si>
  <si>
    <t>payee Self billing</t>
  </si>
  <si>
    <t>Bank account</t>
  </si>
  <si>
    <t>asset card - add asset AMT reference</t>
  </si>
  <si>
    <t>Locations</t>
  </si>
  <si>
    <t>Transaction Structure</t>
  </si>
  <si>
    <t>Transaction parameters</t>
  </si>
  <si>
    <t>Net amount</t>
  </si>
  <si>
    <t>Net purchase price</t>
  </si>
  <si>
    <t>payer payment method</t>
  </si>
  <si>
    <t>payer Self billing</t>
  </si>
  <si>
    <t>Number of payments or installments</t>
  </si>
  <si>
    <t>Number of installments</t>
  </si>
  <si>
    <t>Grace period</t>
  </si>
  <si>
    <t>Installments VAT code</t>
  </si>
  <si>
    <t>installments with tax</t>
  </si>
  <si>
    <t>Inception payment?</t>
  </si>
  <si>
    <t>RV/Balloon payment</t>
  </si>
  <si>
    <t>RV / Balloon Payment VAT code</t>
  </si>
  <si>
    <t>RV / Balloon payment method</t>
  </si>
  <si>
    <t>Banking entity</t>
  </si>
  <si>
    <t>Cost of funds</t>
  </si>
  <si>
    <t>Const of Fund</t>
  </si>
  <si>
    <t>IRR</t>
  </si>
  <si>
    <t>Interest rate (without taxes)</t>
  </si>
  <si>
    <t>External Interest rate?</t>
  </si>
  <si>
    <t>Interest rate (with taxes)</t>
  </si>
  <si>
    <t>Interest VAT code</t>
  </si>
  <si>
    <t>Additional parameters</t>
  </si>
  <si>
    <t>Guarantee type</t>
  </si>
  <si>
    <t>Guarantor name/TP Ref picker</t>
  </si>
  <si>
    <t>Guarantee amount</t>
  </si>
  <si>
    <t>Third parties</t>
  </si>
  <si>
    <t>Summary</t>
  </si>
  <si>
    <t>Suppliers</t>
  </si>
  <si>
    <t>Exposure</t>
  </si>
  <si>
    <t>Date of last approval</t>
  </si>
  <si>
    <t>Approved by</t>
  </si>
  <si>
    <t>Conclusions &amp; Recommendations</t>
  </si>
  <si>
    <t>Additional approvals</t>
  </si>
  <si>
    <t>Credit</t>
  </si>
  <si>
    <t>Conflict of Interest</t>
  </si>
  <si>
    <t>Approval/Rejection</t>
  </si>
  <si>
    <t>CRO</t>
  </si>
  <si>
    <t>Credit Committee</t>
  </si>
  <si>
    <t>LOD1</t>
  </si>
  <si>
    <t>Checklist</t>
  </si>
  <si>
    <t>Items - total 24 items</t>
  </si>
  <si>
    <t>Validation status</t>
  </si>
  <si>
    <t>Documents</t>
  </si>
  <si>
    <t>List of Documents</t>
  </si>
  <si>
    <t>Document type - total 6 document types</t>
  </si>
  <si>
    <t>File Upload Yes/No</t>
  </si>
  <si>
    <t>Department</t>
  </si>
  <si>
    <t>Applicable to China/ HK</t>
  </si>
  <si>
    <t>TS01_TC01_COL_Single Asset Sale</t>
  </si>
  <si>
    <t>COL</t>
  </si>
  <si>
    <t>TS02_TC01_COL_Asset Rebate</t>
  </si>
  <si>
    <t>yes</t>
  </si>
  <si>
    <t>TS03_TC01_COL_Default and Termination - Regulated HP</t>
  </si>
  <si>
    <t>TS04_TC01_COL_Default and Termination - Regulated Lease</t>
  </si>
  <si>
    <t>TS05_TC01_COL_Default and Termination - Regulated Loan</t>
  </si>
  <si>
    <t>TS06_TC01_COL_Default and Termination - Unregulated HP</t>
  </si>
  <si>
    <t>TS08_TC01_COL_Default and Termination - Unregulated Loan</t>
  </si>
  <si>
    <t>TS09_TC01_COL_Restructure Process Lease &amp; HP - Restructure the rentals across the remainder of the contract payments</t>
  </si>
  <si>
    <t xml:space="preserve">TS10_TC01_COL_Restructure Process Lease &amp; HP - Restructure the rentals across some of the remainder of the contract payments </t>
  </si>
  <si>
    <t>TS11_TC01_COL_Restructure Process Lease &amp; HP - Restructure the rentals to extend the contract</t>
  </si>
  <si>
    <t>TS12_TC01_COL_Restructure Process Lease &amp; HP - Restructure the rentals to extend the contract and the contract has an irregular payment schedule</t>
  </si>
  <si>
    <t>TS13_TC01_COL_Restructure Process Loan - Restructure the rentals across the remainder of the contract payments</t>
  </si>
  <si>
    <t>TS14_TC01_COL_Restructure Process Loan - Restructure the rentals across some of the remainder of the contract payments</t>
  </si>
  <si>
    <t>TS15_TC01_COL_Restructure Process Loan - Restructure the rentals to extend the contract</t>
  </si>
  <si>
    <t>TS16_TC01_COL_Restructure Process Loan - Restructure the rentals to extend the contract and the contract has an irregular payment schedule</t>
  </si>
  <si>
    <t>TS17_TC01_COL_Updating the Sub Status</t>
  </si>
  <si>
    <t>TS18_TC01_COL_VAT Bad Reclaim Process - Hire Purchase</t>
  </si>
  <si>
    <t>TS01_TC01_BS_Paydown Quote and Early Termination - Unregulated Loan</t>
  </si>
  <si>
    <t>BS -Cor</t>
  </si>
  <si>
    <t>/</t>
  </si>
  <si>
    <t>TS01_TC03_BS_Paydown Quote and Early Termination - Unregulated Loan_Refund</t>
  </si>
  <si>
    <t>TS02_TC01_BS_PayOff Quote and Early Termination</t>
  </si>
  <si>
    <t>TS02_TC02_BS_PayOff Quote and Early Termination</t>
  </si>
  <si>
    <t>TS02_TC03_BS_PayOff Quote and Early Termination_Refund</t>
  </si>
  <si>
    <t>TS03_TC01_BS_Lease Rebook_FL</t>
  </si>
  <si>
    <t>TS04_TC01_BS_Lease Rebook_HP</t>
  </si>
  <si>
    <t>Perform this for SLB lease</t>
  </si>
  <si>
    <t>TS05_TC01_BS_Loan Rebook</t>
  </si>
  <si>
    <t>TS06_TC01_BS_Restructure -Financial Change_Asset Update</t>
  </si>
  <si>
    <t>TS07_TC01_BS_Restructure -Financial Change -Asset Split</t>
  </si>
  <si>
    <t>May be in Future</t>
  </si>
  <si>
    <t>TS08_TC01_BS_Restructure -Financial Change_Structure(Due Day/Frequency/Term Change)</t>
  </si>
  <si>
    <t>Only Term change is applicable</t>
  </si>
  <si>
    <t>TS09_TC01_BS_Restructure -Financial Change_Structure_ Change_Rental Amount</t>
  </si>
  <si>
    <t>TS10_TC01_BS_Restructure-Financial Change_Over Term Period_Rental Amount Change</t>
  </si>
  <si>
    <t xml:space="preserve">OTP Deals are not applicable </t>
  </si>
  <si>
    <t>TS11_TC01_BS_Restructure-Financial Change_Over Term Period (Frequency/Number of Payments)</t>
  </si>
  <si>
    <t>TS12_TC01_BS_Correcting Net Book Value of Asset</t>
  </si>
  <si>
    <t>TS013_TC01_BS_Selling the Asset</t>
  </si>
  <si>
    <t>TS014_TC01_BS_Syndication Quote</t>
  </si>
  <si>
    <t>TS015_TC01_BS_Adhoc Sundries_Receivables</t>
  </si>
  <si>
    <t>TS016_TC01_BS_Adhoc Sundries_Payable</t>
  </si>
  <si>
    <t>TS017_TC01_BS_Adhoc Sundries_Payable</t>
  </si>
  <si>
    <t>Sundry passthrough is not applicable</t>
  </si>
  <si>
    <t>TS018_TC01_BS_Duplicate Invoices Process &amp; Workaround</t>
  </si>
  <si>
    <t>TS019_TC01_BS_End of Term Notifications</t>
  </si>
  <si>
    <t>TS01_Adding a direct debit mandate</t>
  </si>
  <si>
    <t>CS -Cor</t>
  </si>
  <si>
    <t>TS02_TC01_Cancelling the mandate</t>
  </si>
  <si>
    <t>TS02_TC02_Adding the mandate</t>
  </si>
  <si>
    <t>TS03_Creating a Original mandate</t>
  </si>
  <si>
    <t>TS04_How to raise a letter</t>
  </si>
  <si>
    <t>TS05_MOV-Rental date change</t>
  </si>
  <si>
    <t>TS06_MOV-Deferral of Rental</t>
  </si>
  <si>
    <t>TS07_MOV-Payment Holiday</t>
  </si>
  <si>
    <t>TS08_Novations Single Party</t>
  </si>
  <si>
    <t>TS09_DPA Check</t>
  </si>
  <si>
    <t>TS10_TC01_Investigating Overpayments</t>
  </si>
  <si>
    <t>TS11_TC02_Creating CHAP Request</t>
  </si>
  <si>
    <t>TS12_Substituting an Asset with zero value</t>
  </si>
  <si>
    <t>TS13_Raise a Sundry Invoice</t>
  </si>
  <si>
    <t>TS14_Turning off buyout invoices</t>
  </si>
  <si>
    <t>TS15_Unwinds_Undo the Contract</t>
  </si>
  <si>
    <t>TS15_TC01_FIN_Processing Unwind - Unwind and Replace - Additional Funds to be paid out</t>
  </si>
  <si>
    <t>FIN</t>
  </si>
  <si>
    <t>TS14_TC01_FIN_Processing Unwind - Processing Unwind - Unwind and Replace - only Offset case</t>
  </si>
  <si>
    <t>TS13_TC01_FIN_Processing Unwind - Unwind Only</t>
  </si>
  <si>
    <t>TS12_TC01_FIN_Clearing Excess income</t>
  </si>
  <si>
    <t>TS11_TC01_FIN_Refund the partial excess amount posted against an invoice</t>
  </si>
  <si>
    <t>TS10_TC01_FIN_Refund the entire excess amount posted against an invoice</t>
  </si>
  <si>
    <t>TS09_TC01_FIN_Reallocate funds applied from a contract to another contract associated to the same customer</t>
  </si>
  <si>
    <t>TS08_TC01_FIN_Posting Funds against the Paydown quote - Additional Funds received and applied to Outstanding invoices</t>
  </si>
  <si>
    <t>TS07_TC01_FIN_Posting Funds against the Payoff quote - Additional Funds received and applied to Outstanding invoices</t>
  </si>
  <si>
    <t>TS06_TC01_FIN_Posting Funds against the Paydown quote</t>
  </si>
  <si>
    <t>TS05_TC01_FIN_Posting Funds against the Payoff quote</t>
  </si>
  <si>
    <t>TS04_TC01_Reassigniing Activity to BS</t>
  </si>
  <si>
    <t>TS04_TC01_Posting Contra Settlement Transaction</t>
  </si>
  <si>
    <t>TS04_TC01_FIN_Make note of cash received against Paydown quote and Loan Contract</t>
  </si>
  <si>
    <t>TS03_TC01_FIN_Make note of cash received against Payoff quote and Lease contract</t>
  </si>
  <si>
    <t>TS03_Clearing Overpaid Amount</t>
  </si>
  <si>
    <t>TS02_TCO3_Cash Postings By File</t>
  </si>
  <si>
    <t>TS02_TCO2_Cash Postings Manual(Updating Receipt Application)</t>
  </si>
  <si>
    <t>TS02_TC01_FIN_Write-Off/Waive Balance on an invoice</t>
  </si>
  <si>
    <t>TS02_TC01_Cash Postings Manual</t>
  </si>
  <si>
    <t>TS01_TC01_FIN_Reversing a DD Receipt Entry</t>
  </si>
  <si>
    <t>TS07_TC01_COL_Default and Termination - Unregulated Lease</t>
  </si>
  <si>
    <t>TS01_TC01_AM_Full Renewal - Arrears Contract (Process 1)</t>
  </si>
  <si>
    <t>AM</t>
  </si>
  <si>
    <t>TS02_TC01_AM_Full Renewal - Advance Contract (Process 2)</t>
  </si>
  <si>
    <t>TS03_TC01_AM_Full Renewal – Extreme Rate (Process 3)</t>
  </si>
  <si>
    <t>TS04_TC01_AM_Full Renewal – Extreme Rate with OTP (Process 4)</t>
  </si>
  <si>
    <t>TS05_TC01_AM_Split Renewal – Arrears Contract (Process 5)</t>
  </si>
  <si>
    <t>TS06_TC01_AM_Split Renewal - Advance Contract - (Process 6)</t>
  </si>
  <si>
    <t>TS07_TC01_AM_EOT Termination - TP Buy out (Process 7)</t>
  </si>
  <si>
    <t>TS08_TC01_AM_Early Termination – Buyout (Insurance claim - Write off) - (Process 8)</t>
  </si>
  <si>
    <t>TS09_TC01_AM_Early Termination – Early Termination TP payoff, TP Buy out (Process 9)</t>
  </si>
  <si>
    <t>TS10_TC01_AM_Early Termination – Early Termination and Return (ET&amp;R) - (Process 10)</t>
  </si>
  <si>
    <t>TS011_TC01_AM_Create Asset Recharge Sundry - (Process 11)</t>
  </si>
  <si>
    <t>TS01_Commencing a Deal</t>
  </si>
  <si>
    <t>NB</t>
  </si>
  <si>
    <t>TS02_Payout a Deal</t>
  </si>
  <si>
    <t>#</t>
  </si>
  <si>
    <t>Test Case Name</t>
  </si>
  <si>
    <t>Test case summary</t>
  </si>
  <si>
    <t>Priority</t>
  </si>
  <si>
    <t>TC_01_Customer Creation</t>
  </si>
  <si>
    <t xml:space="preserve">Create Active Commercial Customer with complete details </t>
  </si>
  <si>
    <t>TC_02_ Adding Vendor Role to Customer</t>
  </si>
  <si>
    <t>Add Vendor role to customer created in TC_01_Customer Creation</t>
  </si>
  <si>
    <t>TC_03_ Create An Asset</t>
  </si>
  <si>
    <t xml:space="preserve">Creating New Asset linking to customer </t>
  </si>
  <si>
    <t>TC_04_Clone  Assets</t>
  </si>
  <si>
    <t>Clone the already created Assets</t>
  </si>
  <si>
    <t>TC_05_ Create a Finance Lease</t>
  </si>
  <si>
    <t>Create and commence a  Direct finance lease(use test data created above)</t>
  </si>
  <si>
    <t>TC_06_Create Loan/AOR</t>
  </si>
  <si>
    <t>Create and commence loan</t>
  </si>
  <si>
    <t>TC_06A_Create Asset</t>
  </si>
  <si>
    <t>Repeated</t>
  </si>
  <si>
    <t>TC_06B_Create Payable Invoice</t>
  </si>
  <si>
    <t>Payable Invoice</t>
  </si>
  <si>
    <t>Creating Payable invoice and add collateral assets</t>
  </si>
  <si>
    <t>TC_05A_Blended Items</t>
  </si>
  <si>
    <t>Adding blended items to lease created in TC_05_ Create a Finance Lease</t>
  </si>
  <si>
    <t>TC_05B_Additional Charges</t>
  </si>
  <si>
    <t>Adding additional charges to lease created in TC_05_ Create a Finance Lease</t>
  </si>
  <si>
    <t>TC_07_ Create Recievable Type Sundry</t>
  </si>
  <si>
    <t>Sundry</t>
  </si>
  <si>
    <t>Create a receivable type sundry to lease created in TC_05_ Create a Finance Lease</t>
  </si>
  <si>
    <t>TC_08_Create Payable Type Sundry</t>
  </si>
  <si>
    <t>Create a Payable type sundry to lease created in TC_05_ Create a Finance Lease</t>
  </si>
  <si>
    <t>TC_09_Create Passthrough Sundry</t>
  </si>
  <si>
    <t>Create a Passthrough type sundry to lease created in TC_05_ Create a Finance Lease</t>
  </si>
  <si>
    <t>P3</t>
  </si>
  <si>
    <t>TC_10_Create Recurring Sundry</t>
  </si>
  <si>
    <t>Recurring Sundry</t>
  </si>
  <si>
    <t>Create a Recurring Sundry  to lease created in TC_05_ Create a Finance Lease</t>
  </si>
  <si>
    <t>TC_11_Create Assumptions</t>
  </si>
  <si>
    <t>Assumptions</t>
  </si>
  <si>
    <t>Assiging new customer to commenced lease</t>
  </si>
  <si>
    <t>TC_12_Lease Restucture Payment Holiday</t>
  </si>
  <si>
    <t>Lease Restucture</t>
  </si>
  <si>
    <t>Modify the rental payments to do payment holiday</t>
  </si>
  <si>
    <t>TC_13_Loan Restucture (Number of payments)</t>
  </si>
  <si>
    <t>Loan Restucture</t>
  </si>
  <si>
    <t>Modify the number of payments in the loan</t>
  </si>
  <si>
    <t>TC_14_Lease Rebook</t>
  </si>
  <si>
    <t>Lease Rebook</t>
  </si>
  <si>
    <t xml:space="preserve">Rebook the lease </t>
  </si>
  <si>
    <t>TC_15_Activity Request creation</t>
  </si>
  <si>
    <t>Activity Request</t>
  </si>
  <si>
    <t>Create Activity and assign to lease and complete the process</t>
  </si>
  <si>
    <t>TC_16_Activity Group Creation</t>
  </si>
  <si>
    <t>Activity Groups</t>
  </si>
  <si>
    <t>Create Activity Group</t>
  </si>
  <si>
    <t>TC_17 Activity Center</t>
  </si>
  <si>
    <t>Activity Center</t>
  </si>
  <si>
    <t xml:space="preserve">View activities related to customer </t>
  </si>
  <si>
    <t>TC_18_Security Deposit</t>
  </si>
  <si>
    <t>Security Deposit</t>
  </si>
  <si>
    <t>Create Security Deposit</t>
  </si>
  <si>
    <t>TC_19_Security Deposit_Rental Posting</t>
  </si>
  <si>
    <t>Use SD to post the rental</t>
  </si>
  <si>
    <t>TC_20_Security Deposit_Refund</t>
  </si>
  <si>
    <t xml:space="preserve">Refund the balance of SD to client </t>
  </si>
  <si>
    <t xml:space="preserve">TC_21_ Add Guarantor </t>
  </si>
  <si>
    <t xml:space="preserve">Add Guarantor to the lease </t>
  </si>
  <si>
    <t>TC_22_OTP Lease</t>
  </si>
  <si>
    <t>Put the lease in the OTP</t>
  </si>
  <si>
    <t>TC_23_Float Rate Creation</t>
  </si>
  <si>
    <t>Float rate indices</t>
  </si>
  <si>
    <r>
      <t>Variable Rate Contract Creation</t>
    </r>
    <r>
      <rPr>
        <sz val="10.5"/>
        <color rgb="FF000000"/>
        <rFont val="Calibri"/>
        <family val="2"/>
      </rPr>
      <t> </t>
    </r>
    <r>
      <rPr>
        <b/>
        <sz val="10.5"/>
        <color rgb="FF000000"/>
        <rFont val="Calibri"/>
        <family val="2"/>
      </rPr>
      <t>to add in Lease</t>
    </r>
  </si>
  <si>
    <t>TC_24_Lease Stucture modification</t>
  </si>
  <si>
    <t xml:space="preserve">Modify the lease stucture parameters </t>
  </si>
  <si>
    <t>TC_25_ Run Lease float Rate update job</t>
  </si>
  <si>
    <t>Jobs</t>
  </si>
  <si>
    <t>Run the job</t>
  </si>
  <si>
    <t>TC_26_Rerun the job</t>
  </si>
  <si>
    <t>TC_27_Clone the job</t>
  </si>
  <si>
    <t>Clone the job</t>
  </si>
  <si>
    <t>TC_28_Asset Split</t>
  </si>
  <si>
    <t>Asset Split</t>
  </si>
  <si>
    <t>Split the asset to do partially payoff</t>
  </si>
  <si>
    <t>TC_29_Payoff the deal</t>
  </si>
  <si>
    <t>Payoff</t>
  </si>
  <si>
    <t>Payoff the lease</t>
  </si>
  <si>
    <t>TC_30_Payoff Reversal</t>
  </si>
  <si>
    <t>Payoff reverse</t>
  </si>
  <si>
    <t xml:space="preserve">Revers the payoff created </t>
  </si>
  <si>
    <t>TC_31_Asset sale</t>
  </si>
  <si>
    <t>perform asset sale for the paid off asset</t>
  </si>
  <si>
    <t>TC_32_Full paydown the loan</t>
  </si>
  <si>
    <t>TC_33_Partial paydown creation</t>
  </si>
  <si>
    <t>TC_34_Irregular OTP payments</t>
  </si>
  <si>
    <t>TC_35_OTP Restructure_number of payments</t>
  </si>
  <si>
    <t xml:space="preserve">TC_36_Early Issue Invoice : Tax assesment and invoice job </t>
  </si>
  <si>
    <t xml:space="preserve">TC_37_Reports Generation </t>
  </si>
  <si>
    <t>TC_38_Modify the columns for reports</t>
  </si>
  <si>
    <t>TC_39_Add  bill to</t>
  </si>
  <si>
    <t>TC_40_Auto Payoff</t>
  </si>
  <si>
    <t>TC_41_Auto Paydown</t>
  </si>
  <si>
    <t>TC_42_Insurance policy Creation</t>
  </si>
  <si>
    <t>TC_43_Asset mass update</t>
  </si>
  <si>
    <t>TC_44_Mass location update</t>
  </si>
  <si>
    <t>TC_45_Upload or update the Serial Numbers for multiple Assets </t>
  </si>
  <si>
    <t>TC_46_clearing the excess amount on receipt</t>
  </si>
  <si>
    <t>TC_47_Generate Document </t>
  </si>
  <si>
    <t>TC_48_Stop Billing-Frozen Contract_Payoff</t>
  </si>
  <si>
    <t>TC_49_Extend &amp; Reuse (SLB-SLB): restucture</t>
  </si>
  <si>
    <r>
      <t>TC_50_Late fee Invoice Cancellation and Waiver </t>
    </r>
    <r>
      <rPr>
        <sz val="10"/>
        <color rgb="FF000000"/>
        <rFont val="Aptos"/>
        <family val="2"/>
      </rPr>
      <t> </t>
    </r>
  </si>
  <si>
    <r>
      <t>TC_51_Stop Auto Billing of Late Interest</t>
    </r>
    <r>
      <rPr>
        <sz val="10"/>
        <color rgb="FF000000"/>
        <rFont val="Aptos"/>
        <family val="2"/>
      </rPr>
      <t> </t>
    </r>
  </si>
  <si>
    <r>
      <t>TC_52_Multiple Funding Payments with Net Off Downpayment</t>
    </r>
    <r>
      <rPr>
        <sz val="10"/>
        <color rgb="FF000000"/>
        <rFont val="Aptos"/>
        <family val="2"/>
      </rPr>
      <t> </t>
    </r>
  </si>
  <si>
    <r>
      <t>TC_53_Job Setting for Invoice Generation of Single Contract</t>
    </r>
    <r>
      <rPr>
        <sz val="10"/>
        <color rgb="FF000000"/>
        <rFont val="Aptos"/>
        <family val="2"/>
      </rPr>
      <t> </t>
    </r>
  </si>
  <si>
    <t>Automation Status</t>
  </si>
  <si>
    <t>Completed</t>
  </si>
  <si>
    <t>Landed in Odessa</t>
  </si>
  <si>
    <t>Count of New Contract Number</t>
  </si>
  <si>
    <t>Failed</t>
  </si>
  <si>
    <t>Success</t>
  </si>
  <si>
    <t>Grand Total</t>
  </si>
  <si>
    <t>Business Data</t>
  </si>
  <si>
    <t>New Contract Number</t>
  </si>
  <si>
    <t>Type</t>
  </si>
  <si>
    <t>Validated in Odessa</t>
  </si>
  <si>
    <t>similar deals cloned rfom origination</t>
  </si>
  <si>
    <t>QT-CHN-DL-AUTOMATION-83537</t>
  </si>
  <si>
    <t>Direct Lease</t>
  </si>
  <si>
    <t>Anish will send detiled email on the issues</t>
  </si>
  <si>
    <t>QT-CHN-AOR-AUTOMATION-557</t>
  </si>
  <si>
    <t>To be checked with Odessa</t>
  </si>
  <si>
    <t>QT-CHN-SLB-AUTOMATION-71121</t>
  </si>
  <si>
    <t>Anish : Business to confirm whether this is a valid use case.
Customer is from China and vendor is from Hong Kong
[Olina] It's not. I picked randomly
Don : Olina, Can you please update the correct vendor to retry this case
[Olina] updated.</t>
  </si>
  <si>
    <t>Old Data</t>
  </si>
  <si>
    <t>QT-CHN-LE-2025-1480</t>
  </si>
  <si>
    <t>QT-CHN-LE-2026-1516</t>
  </si>
  <si>
    <t>Anish : All TP's are created in Odessa as Commerical TP's.
In Odessa, a TP can be added as Personal Guarantor for a contract only if it is NOT commerical.</t>
  </si>
  <si>
    <t>QT-CHN-LE-2026-1522</t>
  </si>
  <si>
    <t>QT-HKG-LE-2026-116</t>
  </si>
  <si>
    <t>QT-CHN-LE-2025-1481</t>
  </si>
  <si>
    <t>QT-CHN-LE-2026-1502</t>
  </si>
  <si>
    <t>Failed in origination. Some address state are missing</t>
  </si>
  <si>
    <t>QT-CHN-LE-2025-1482</t>
  </si>
  <si>
    <t>Anish : Business to confirm whether this is a valid use case.
Customer is from China and vendor is from Hong Kong</t>
  </si>
  <si>
    <t>QT-CHN-LE-2026-1503</t>
  </si>
  <si>
    <t>QT-HKG-LE-2025-110</t>
  </si>
  <si>
    <t>QT Creation failed. To be checked with QT team</t>
  </si>
  <si>
    <t>QT-HKG-LE-2026-117</t>
  </si>
  <si>
    <t>QT-CHN-LE-2025-1483</t>
  </si>
  <si>
    <t>QT-CHN-LE-2025-1484</t>
  </si>
  <si>
    <t>QT-CHN-LE-2025-1489</t>
  </si>
  <si>
    <t>QT-CHN-LE-2026-1656</t>
  </si>
  <si>
    <t>QT-CHN-DL-AUTOMATION-37215</t>
  </si>
  <si>
    <t>QT-CHN-LE-2026-1657</t>
  </si>
  <si>
    <t>QT-CHN-DL-AUTOMATION-44211</t>
  </si>
  <si>
    <t>Province is missing for TP ID - SGEFTP-40258</t>
  </si>
  <si>
    <t>QT-CHN-LE-2026-1655</t>
  </si>
  <si>
    <t>QT-CHN-SLB-AUTOMATION-17880</t>
  </si>
  <si>
    <t>To be checked with Odessa : No tax code and tax rate available for the given combination
[Olina] updated</t>
  </si>
  <si>
    <t>QT-CHN-LE-2026-1658</t>
  </si>
  <si>
    <t>QT-CHN-SLB-AUTOMATION-38396</t>
  </si>
  <si>
    <t>Data Quality Issue: TP data need correction. Multiple matching entities found for &lt;State&gt; while updating &lt;EditReference&gt; with name &lt;State&gt; - Party Party -
[Olina] updated
[31 Mar Don] : Failed again with TP issue. This time legal Name was missing. Please enter Company Legal Name - Party Party -","Please enter Company Legal Name for TP ID : SGEFTP-41038
Olina updated TP and it started working</t>
  </si>
  <si>
    <t>QT-CHN-LE-2026-1659</t>
  </si>
  <si>
    <t>Operating Lease</t>
  </si>
  <si>
    <t>To be pushed to "Send to BO"</t>
  </si>
  <si>
    <t>QT-CHN-LE-2026-1624</t>
  </si>
  <si>
    <t>QT-CHN-OL-AUTOMATION-52447</t>
  </si>
  <si>
    <t>Data Quality Issue: TP data need correction. Multiple matching entities found for &lt;State&gt; while updating &lt;EditReference&gt; with name &lt;State&gt; - Party Party -
[Olina] updated
[Don] : Failed again with TP issue. This time legal Name was missing. Please enter Company Legal Name - Party -","Please enter Company Legal Name for TP ID : SGEFTP-40902
[Don] : - Failed again with TP issue. This time Province is missing for TP ID : SGEFTP-40319. Can you please update
[Olina] both updated</t>
  </si>
  <si>
    <t>QT-CHN-LE-2026-1660</t>
  </si>
  <si>
    <t>Direct Lease import</t>
  </si>
  <si>
    <t xml:space="preserve">Address state is missing
[Olina] updated in TP ref, but ORIG cannot grab or save the update. </t>
  </si>
  <si>
    <t>QT-CHN-LE-2026-1662</t>
  </si>
  <si>
    <t>SLB import</t>
  </si>
  <si>
    <t>Waiting for a carification from business</t>
  </si>
  <si>
    <t>In QT we don't have any cashflows. However in Origination we have Vendor cashflow ?
[Olina] Yes. We allow users to add or modify and re-calculation in ORIG.</t>
  </si>
  <si>
    <t>QT-CHN-LE-2026-1664</t>
  </si>
  <si>
    <t>QT-CHN-LE-2026-1665</t>
  </si>
  <si>
    <t>QT-CHN-DL-AUTOMATION-9065</t>
  </si>
  <si>
    <t>Province missing for TP ID - SGEFTP-41016
[Olina] Added
[Zarana]Able to push the deal now into BO, but deal is not reflecting in Odessa</t>
  </si>
  <si>
    <t>QT-CHN-LE-2026-1666</t>
  </si>
  <si>
    <t>QT-CHN-SLB-AUTOMATION-67627</t>
  </si>
  <si>
    <t>The deal is missing information to be send to Odessa. Please check the Supplier validation, Some address state are missing
[Olina]Authorized and added.
[Zarana]Able to push the deal now into BO, but deal is not reflecting in Odessa</t>
  </si>
  <si>
    <t>QT-CHN-LE-2026-1667</t>
  </si>
  <si>
    <t>QT-CHN-LE-2026-1668</t>
  </si>
  <si>
    <t>QT-CHN-LE-2026-1669</t>
  </si>
  <si>
    <t>QT-CHN-SLB-AUTOMATION-76918</t>
  </si>
  <si>
    <t>QT-CHN-LE-2026-1670</t>
  </si>
  <si>
    <t>QT-CHN-DL-AUTOMATION-12161</t>
  </si>
  <si>
    <t xml:space="preserve">The deal is missing information to be send to Odessa. Please check the Some address state are missing
[Olina] Added
[Zarana] Able to push the deal now into BO, but deal is not reflecting in Odessa </t>
  </si>
  <si>
    <t>QT-HKG-LE-2026-145</t>
  </si>
  <si>
    <t>QT-CHN-LE-2026-1672</t>
  </si>
  <si>
    <t>QT-CHN-AOR-AUTOMATION-568</t>
  </si>
  <si>
    <t>QT-CHN-LE-2026-1673</t>
  </si>
  <si>
    <t>QT-CHN-AOR-AUTOMATION-40237</t>
  </si>
  <si>
    <t>QT-CHN-LE-2026-1674</t>
  </si>
  <si>
    <t>QT-CHN-DL-AUTOMATION-29326</t>
  </si>
  <si>
    <t>Able to push the deal into BO, but deal is not reflecting in Odessa</t>
  </si>
  <si>
    <t>QT-HKG-LE-2026-146</t>
  </si>
  <si>
    <t>QT-CHN-LE-2026-1676</t>
  </si>
  <si>
    <t>QT-CHN-LE-2026-1677</t>
  </si>
  <si>
    <t>QT-HKG-LE-2026-163</t>
  </si>
  <si>
    <t>QT-HKG-DL-AUTOMATION-78369</t>
  </si>
  <si>
    <t>QT-HKG-LE-2026-159</t>
  </si>
  <si>
    <t>Send to BO</t>
  </si>
  <si>
    <t>QT-HKG-LE-2026-160</t>
  </si>
  <si>
    <t>TS01_Commencing a Deal - Lease</t>
  </si>
  <si>
    <t>1) User with New Business Team Lead profile is setup and logged into the Odessa system.</t>
  </si>
  <si>
    <t>Operations</t>
  </si>
  <si>
    <t>Contract Number</t>
  </si>
  <si>
    <t>And check Profile details</t>
  </si>
  <si>
    <t>Customer Name
Contract Number
Line of Business
Legal Entity
Country
Currency
Deal type
Transaction Type
CCA Regulated
Zhong Deng Status - pending
Origination Source Type
Origination Source
Management Source
Effective Date
Services
Collected
Active
Bill To
Remit to</t>
  </si>
  <si>
    <t>And Select Payable Invoice inside funding row and click View/Edit</t>
  </si>
  <si>
    <t>Pending DR
Check Invoice #
Check Currency
Check Vendor (Supplier)
Check Invoice Date
Invoice Issue Date
Check Due Date
Check Post Date (date being paid out)
Payable remit to (cheque or wire)
Asset cost payable code
Netoff with payable invoice
Asset cost
Tax
Tax code
Payee name
Remit To</t>
  </si>
  <si>
    <t>Payable Invoice details will be verified</t>
  </si>
  <si>
    <t>And navigate to assets</t>
  </si>
  <si>
    <t>Check Asset Cost
Check serial #
Copy the Asset ID
Odessa&gt;search&gt;Assets
Double click to view the asset details
Make
Model
Manufacturer</t>
  </si>
  <si>
    <t>Asset details will be verified</t>
  </si>
  <si>
    <t>And navigate to Structure - fixed term</t>
  </si>
  <si>
    <t># of Payments
Frequency
Day Count Convention
Advance
# of Inception Payments
Commencement Date
Maturity Date
Due Date
Frequency Start Date
Customer Term in Months
Rent
Inception Payment
Total Down Payment
Down Payment
Tax Down Payment
Float rate Lease
Restructure on Float Rate Change</t>
  </si>
  <si>
    <t>Structure details will be verified</t>
  </si>
  <si>
    <t>Navigate to structure - Interest Rate</t>
  </si>
  <si>
    <t>Effective Date
Float rate
Float rate index
Base rate %
Spread %
Interest rate %
Float rate reset unit
First Reset date
Move across Month</t>
  </si>
  <si>
    <t>Interest date details will be verified</t>
  </si>
  <si>
    <t>And navigate to structure - payment schedule</t>
  </si>
  <si>
    <t>Payment schedule details will be verified</t>
  </si>
  <si>
    <t>And navigate to structure - tax details</t>
  </si>
  <si>
    <t>check Tax code
check Tax rate</t>
  </si>
  <si>
    <t>tax details will be verified</t>
  </si>
  <si>
    <t>And navigate to investment details</t>
  </si>
  <si>
    <t>Investment Details
Booked Residual
Third Party Residual
Total Vendor Subsidy
Vendor Deposit
Vendor Subsidy
Part Exchange
Lessor PTO</t>
  </si>
  <si>
    <t>Investment details will be verified</t>
  </si>
  <si>
    <t>The belended items section will be verified</t>
  </si>
  <si>
    <t>And navigate to Accounting</t>
  </si>
  <si>
    <t>Accounting section will be verified</t>
  </si>
  <si>
    <t>And navigate to Maturity Management</t>
  </si>
  <si>
    <t>Over term</t>
  </si>
  <si>
    <t>Maturity management section will be verified</t>
  </si>
  <si>
    <t>And navigate to contract options</t>
  </si>
  <si>
    <t>Option to purchase fee</t>
  </si>
  <si>
    <t>contract options section will be verified</t>
  </si>
  <si>
    <t>And navigate to contract options - late fees</t>
  </si>
  <si>
    <t>late fee templete
invoice grace days
invoice grace days at inception
late fee set up</t>
  </si>
  <si>
    <t>And navigate to Affiliates - Third parties</t>
  </si>
  <si>
    <t>check all supplied third parties
select individual row and check below
Relationship type
Limit By
Relationship %
Limit by Amount
Third Party
Guarantee</t>
  </si>
  <si>
    <t>third party details will be verified</t>
  </si>
  <si>
    <t>QT #</t>
  </si>
  <si>
    <t>Screen Name</t>
  </si>
  <si>
    <t>Tab Name</t>
  </si>
  <si>
    <t>Odessa UI Label</t>
  </si>
  <si>
    <t>Odessa Key</t>
  </si>
  <si>
    <t xml:space="preserve">Value </t>
  </si>
  <si>
    <t xml:space="preserve">Root </t>
  </si>
  <si>
    <t>Payload Key</t>
  </si>
  <si>
    <t>Value</t>
  </si>
  <si>
    <t>QT-CHN-TESTING-COE-26071</t>
  </si>
  <si>
    <t>CYN</t>
  </si>
  <si>
    <t>General</t>
  </si>
  <si>
    <t>currency</t>
  </si>
  <si>
    <t>东莞市粤明华印刷包装有限公司分公司</t>
  </si>
  <si>
    <t>client</t>
  </si>
  <si>
    <t>localName</t>
  </si>
  <si>
    <t>externalId</t>
  </si>
  <si>
    <t>NA</t>
  </si>
  <si>
    <t>product</t>
  </si>
  <si>
    <t>Financial lease</t>
  </si>
  <si>
    <t>campaign</t>
  </si>
  <si>
    <t>Pending</t>
  </si>
  <si>
    <t>cashflows</t>
  </si>
  <si>
    <t>name</t>
  </si>
  <si>
    <t>海德堡中国有限公司</t>
  </si>
  <si>
    <t>vendor</t>
  </si>
  <si>
    <t>quotes.disbursementDate</t>
  </si>
  <si>
    <t>SGEFTP-47011-1</t>
  </si>
  <si>
    <t>client.sgefTpId</t>
  </si>
  <si>
    <r>
      <t>SGEFTP-47011</t>
    </r>
    <r>
      <rPr>
        <b/>
        <sz val="11"/>
        <color rgb="FFFF0000"/>
        <rFont val="Aptos Narrow"/>
        <family val="2"/>
      </rPr>
      <t>-1</t>
    </r>
  </si>
  <si>
    <t>apend with -1</t>
  </si>
  <si>
    <t>BPCE-CNY</t>
  </si>
  <si>
    <t>assetsDetails</t>
  </si>
  <si>
    <t>issueDate</t>
  </si>
  <si>
    <t>Missing in Odessa scraped File</t>
  </si>
  <si>
    <t>Missing in Both payloads</t>
  </si>
  <si>
    <t>assetsDetails, payee</t>
  </si>
  <si>
    <t>localname</t>
  </si>
  <si>
    <t>海德堡印刷设备（北京）有限公司广州分公司</t>
  </si>
  <si>
    <t>quotes</t>
  </si>
  <si>
    <t>grossAmount</t>
  </si>
  <si>
    <t>Default</t>
  </si>
  <si>
    <t>assets.assetsDetails.supplier.name</t>
  </si>
  <si>
    <t>assets.assetsDetails.name, first 10 characters</t>
  </si>
  <si>
    <t xml:space="preserve">CX104-7+L </t>
  </si>
  <si>
    <t>assets.assetsDetails.manufacturer</t>
  </si>
  <si>
    <t>quotes.numberOfRentals</t>
  </si>
  <si>
    <t>periodicity</t>
  </si>
  <si>
    <t>inAdvanceInArrears</t>
  </si>
  <si>
    <t># of Inception Payments</t>
  </si>
  <si>
    <t>firstInstallmentDate</t>
  </si>
  <si>
    <t>add 1 month to commencement date</t>
  </si>
  <si>
    <t xml:space="preserve"> commencement date +( frequency * Terms)</t>
  </si>
  <si>
    <t>term</t>
  </si>
  <si>
    <t>since its monthly</t>
  </si>
  <si>
    <t>installments</t>
  </si>
  <si>
    <t>principalAmount</t>
  </si>
  <si>
    <t>first principal amount</t>
  </si>
  <si>
    <t>downPayment</t>
  </si>
  <si>
    <t>rateType</t>
  </si>
  <si>
    <t>FLOATING</t>
  </si>
  <si>
    <t>quotes.rateType</t>
  </si>
  <si>
    <t>quotes.interestRateWithTax</t>
  </si>
  <si>
    <t>there are 2 interest rates in origination payload, confirm</t>
  </si>
  <si>
    <t>Principal</t>
  </si>
  <si>
    <t>quotes.installments.principalAmount</t>
  </si>
  <si>
    <t>Interest</t>
  </si>
  <si>
    <t>quotes.installments.interestAmount</t>
  </si>
  <si>
    <t>Due Date</t>
  </si>
  <si>
    <t>quotes.installments.installmentDate</t>
  </si>
  <si>
    <t>Gross Amount</t>
  </si>
  <si>
    <t>quotes.installments.installmentInAmount</t>
  </si>
  <si>
    <t>total amount value is also same, confirm</t>
  </si>
  <si>
    <t>Begin Balance/CN End Balance</t>
  </si>
  <si>
    <t>quotes.installments.outstandingAmount</t>
  </si>
  <si>
    <t>two fields are showing same value in payment schedule, decimal point difference is ther between payload and odessa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</si>
</sst>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x14ac:knownFonts="1">
    <font>
      <sz val="11"/>
      <color theme="1"/>
      <name val="Aptos Narrow"/>
      <family val="2"/>
      <scheme val="minor"/>
    </font>
    <font>
      <sz val="8"/>
      <name val="Aptos Narrow"/>
      <family val="2"/>
      <scheme val="minor"/>
    </font>
    <font>
      <sz val="11"/>
      <color rgb="FF9C5700"/>
      <name val="Aptos Narrow"/>
      <family val="2"/>
      <scheme val="minor"/>
    </font>
    <font>
      <b/>
      <sz val="11"/>
      <color theme="1"/>
      <name val="Aptos Narrow"/>
      <family val="2"/>
      <scheme val="minor"/>
    </font>
    <font>
      <b/>
      <sz val="11"/>
      <color theme="0"/>
      <name val="Aptos Narrow"/>
      <family val="2"/>
      <scheme val="minor"/>
    </font>
    <font>
      <b/>
      <sz val="9"/>
      <color theme="1"/>
      <name val="Aptos Display"/>
      <family val="2"/>
      <scheme val="major"/>
    </font>
    <font>
      <sz val="9"/>
      <color theme="1"/>
      <name val="Aptos Display"/>
      <family val="2"/>
      <scheme val="major"/>
    </font>
    <font>
      <sz val="9"/>
      <color rgb="FF000000"/>
      <name val="Aptos Display"/>
      <family val="2"/>
      <scheme val="major"/>
    </font>
    <font>
      <sz val="9"/>
      <color rgb="FF9C5700"/>
      <name val="Aptos Display"/>
      <family val="2"/>
      <scheme val="major"/>
    </font>
    <font>
      <b/>
      <sz val="9"/>
      <color rgb="FF9C5700"/>
      <name val="Aptos Display"/>
      <family val="2"/>
      <scheme val="major"/>
    </font>
    <font>
      <b/>
      <sz val="9"/>
      <color rgb="FF000000"/>
      <name val="Aptos Display"/>
      <family val="2"/>
      <scheme val="major"/>
    </font>
    <font>
      <b/>
      <sz val="9"/>
      <color theme="0"/>
      <name val="Aptos Display"/>
      <family val="2"/>
      <scheme val="major"/>
    </font>
    <font>
      <b/>
      <sz val="10"/>
      <color theme="0"/>
      <name val="Calibri"/>
      <family val="2"/>
    </font>
    <font>
      <b/>
      <sz val="11"/>
      <color theme="0"/>
      <name val="Aptos"/>
      <family val="2"/>
    </font>
    <font>
      <sz val="10"/>
      <name val="Aptos Display"/>
      <family val="2"/>
      <scheme val="major"/>
    </font>
    <font>
      <sz val="10"/>
      <color rgb="FF000000"/>
      <name val="Aptos Display"/>
      <family val="2"/>
      <scheme val="major"/>
    </font>
    <font>
      <b/>
      <sz val="10"/>
      <color rgb="FF000000"/>
      <name val="Aptos Display"/>
      <family val="2"/>
      <scheme val="major"/>
    </font>
    <font>
      <b/>
      <sz val="9"/>
      <color theme="0"/>
      <name val="Helvetica"/>
      <charset val="1"/>
    </font>
    <font>
      <sz val="10"/>
      <color rgb="FF000000"/>
      <name val="Aptos Display"/>
      <family val="2"/>
    </font>
    <font>
      <b/>
      <sz val="10"/>
      <color rgb="FFFFFFFF"/>
      <name val="Calibri"/>
      <family val="2"/>
    </font>
    <font>
      <sz val="10"/>
      <color rgb="FF000000"/>
      <name val="Calibri"/>
      <family val="2"/>
    </font>
    <font>
      <sz val="10"/>
      <color rgb="FFFF0000"/>
      <name val="Aptos Display"/>
      <family val="2"/>
      <scheme val="major"/>
    </font>
    <font>
      <sz val="11"/>
      <color rgb="FF000000"/>
      <name val="Aptos Narrow"/>
      <family val="2"/>
    </font>
    <font>
      <sz val="10"/>
      <color theme="1"/>
      <name val="Aptos Narrow"/>
      <family val="2"/>
      <scheme val="minor"/>
    </font>
    <font>
      <sz val="10"/>
      <color rgb="FF000000"/>
      <name val="Aptos"/>
      <family val="2"/>
    </font>
    <font>
      <sz val="10"/>
      <color theme="1"/>
      <name val="Calibri"/>
      <family val="2"/>
    </font>
    <font>
      <sz val="10"/>
      <color theme="0"/>
      <name val="Aptos Narrow"/>
      <family val="2"/>
      <scheme val="minor"/>
    </font>
    <font>
      <b/>
      <sz val="11"/>
      <color rgb="FFFF0000"/>
      <name val="Aptos Narrow"/>
      <family val="2"/>
    </font>
    <font>
      <b/>
      <sz val="11"/>
      <color rgb="FF000000"/>
      <name val="Aptos Narrow"/>
      <family val="2"/>
    </font>
    <font>
      <sz val="11"/>
      <color rgb="FF006100"/>
      <name val="Aptos Narrow"/>
      <family val="2"/>
    </font>
    <font>
      <sz val="11"/>
      <color rgb="FF9C5700"/>
      <name val="Aptos Narrow"/>
      <family val="2"/>
    </font>
    <font>
      <sz val="10"/>
      <name val="Aptos Display"/>
      <family val="2"/>
    </font>
    <font>
      <b/>
      <sz val="10"/>
      <color theme="0"/>
      <name val="Aptos Narrow"/>
      <family val="2"/>
      <scheme val="minor"/>
    </font>
    <font>
      <sz val="11"/>
      <color theme="0"/>
      <name val="Aptos Narrow"/>
      <family val="2"/>
      <scheme val="minor"/>
    </font>
    <font>
      <sz val="10.5"/>
      <color rgb="FF000000"/>
      <name val="Calibri"/>
      <family val="2"/>
    </font>
    <font>
      <b/>
      <sz val="10.5"/>
      <color rgb="FF000000"/>
      <name val="Calibri"/>
      <family val="2"/>
    </font>
    <font>
      <sz val="11"/>
      <color rgb="FF242424"/>
      <name val="Aptos Narrow"/>
      <family val="2"/>
    </font>
    <font>
      <sz val="11"/>
      <color rgb="FF242424"/>
      <name val="Aptos Narrow"/>
      <charset val="1"/>
    </font>
    <font>
      <sz val="11"/>
      <color rgb="FF000000"/>
      <name val="Aptos Narrow"/>
    </font>
    <font>
      <sz val="11"/>
      <color rgb="FF242424"/>
      <name val="Aptos Narrow"/>
    </font>
  </fonts>
  <fills count="24">
    <fill>
      <patternFill patternType="none"/>
    </fill>
    <fill>
      <patternFill patternType="gray125"/>
    </fill>
    <fill>
      <patternFill patternType="solid">
        <fgColor rgb="FFFFEB9C"/>
      </patternFill>
    </fill>
    <fill>
      <patternFill patternType="solid">
        <fgColor theme="8" tint="-0.499984740745262"/>
        <bgColor indexed="64"/>
      </patternFill>
    </fill>
    <fill>
      <patternFill patternType="solid">
        <fgColor theme="8" tint="-0.499984740745262"/>
        <bgColor rgb="FF000000"/>
      </patternFill>
    </fill>
    <fill>
      <patternFill patternType="solid">
        <fgColor theme="5" tint="-0.249977111117893"/>
        <bgColor indexed="64"/>
      </patternFill>
    </fill>
    <fill>
      <patternFill patternType="solid">
        <fgColor theme="7" tint="-0.499984740745262"/>
        <bgColor indexed="64"/>
      </patternFill>
    </fill>
    <fill>
      <patternFill patternType="solid">
        <fgColor rgb="FF079168"/>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EFF7A8"/>
        <bgColor indexed="64"/>
      </patternFill>
    </fill>
    <fill>
      <patternFill patternType="solid">
        <fgColor rgb="FFC2C0FA"/>
        <bgColor indexed="64"/>
      </patternFill>
    </fill>
    <fill>
      <patternFill patternType="solid">
        <fgColor rgb="FF009999"/>
        <bgColor rgb="FF000000"/>
      </patternFill>
    </fill>
    <fill>
      <patternFill patternType="solid">
        <fgColor theme="0"/>
        <bgColor indexed="64"/>
      </patternFill>
    </fill>
    <fill>
      <patternFill patternType="solid">
        <fgColor rgb="FFC6EFCE"/>
        <bgColor rgb="FF000000"/>
      </patternFill>
    </fill>
    <fill>
      <patternFill patternType="solid">
        <fgColor rgb="FFFFEB9C"/>
        <bgColor rgb="FF000000"/>
      </patternFill>
    </fill>
    <fill>
      <patternFill patternType="solid">
        <fgColor rgb="FFFFFF00"/>
        <bgColor indexed="64"/>
      </patternFill>
    </fill>
    <fill>
      <patternFill patternType="solid">
        <fgColor theme="3" tint="0.89999084444715716"/>
        <bgColor indexed="64"/>
      </patternFill>
    </fill>
    <fill>
      <patternFill patternType="solid">
        <fgColor rgb="FF00B050"/>
        <bgColor indexed="64"/>
      </patternFill>
    </fill>
    <fill>
      <patternFill patternType="solid">
        <fgColor rgb="FFFF0000"/>
        <bgColor indexed="64"/>
      </patternFill>
    </fill>
    <fill>
      <patternFill patternType="solid">
        <fgColor theme="8" tint="0.39997558519241921"/>
        <bgColor indexed="64"/>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2" fillId="2" borderId="0" applyNumberFormat="0" applyBorder="0" applyAlignment="0" applyProtection="0"/>
  </cellStyleXfs>
  <cellXfs count="151">
    <xf numFmtId="0" fontId="0" fillId="0" borderId="0" xfId="0"/>
    <xf numFmtId="0" fontId="0" fillId="0" borderId="1" xfId="0" applyBorder="1"/>
    <xf numFmtId="0" fontId="2" fillId="2" borderId="1" xfId="1" applyBorder="1"/>
    <xf numFmtId="0" fontId="4" fillId="3" borderId="1" xfId="0" applyFont="1" applyFill="1" applyBorder="1"/>
    <xf numFmtId="0" fontId="5" fillId="0" borderId="1" xfId="0" applyFont="1" applyBorder="1"/>
    <xf numFmtId="0" fontId="6" fillId="0" borderId="1" xfId="0" applyFont="1" applyBorder="1"/>
    <xf numFmtId="0" fontId="7" fillId="0" borderId="1" xfId="0" applyFont="1" applyBorder="1" applyAlignment="1">
      <alignment vertical="center" wrapText="1"/>
    </xf>
    <xf numFmtId="0" fontId="5" fillId="0" borderId="1" xfId="0" applyFont="1" applyBorder="1" applyAlignment="1">
      <alignment horizontal="left" vertical="center"/>
    </xf>
    <xf numFmtId="4" fontId="5" fillId="0" borderId="1" xfId="0" applyNumberFormat="1" applyFont="1" applyBorder="1" applyAlignment="1">
      <alignment horizontal="left" vertical="center"/>
    </xf>
    <xf numFmtId="10" fontId="5" fillId="0" borderId="1" xfId="0" applyNumberFormat="1" applyFont="1" applyBorder="1" applyAlignment="1">
      <alignment horizontal="left" vertical="center"/>
    </xf>
    <xf numFmtId="0" fontId="5" fillId="0" borderId="1" xfId="0" applyFont="1" applyBorder="1" applyAlignment="1">
      <alignment horizontal="left" vertical="center" wrapText="1"/>
    </xf>
    <xf numFmtId="0" fontId="8" fillId="2" borderId="1" xfId="1" applyFont="1" applyBorder="1"/>
    <xf numFmtId="0" fontId="8" fillId="2" borderId="1" xfId="1" applyFont="1" applyBorder="1" applyAlignment="1">
      <alignment vertical="center" wrapText="1"/>
    </xf>
    <xf numFmtId="0" fontId="9" fillId="2" borderId="1" xfId="1" applyFont="1" applyBorder="1" applyAlignment="1">
      <alignment horizontal="left" vertical="center"/>
    </xf>
    <xf numFmtId="0" fontId="10" fillId="0" borderId="1" xfId="0" applyFont="1" applyBorder="1" applyAlignment="1">
      <alignment horizontal="left"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3" fillId="0" borderId="0" xfId="0" applyFont="1"/>
    <xf numFmtId="0" fontId="14" fillId="0" borderId="1" xfId="0" applyFont="1" applyBorder="1"/>
    <xf numFmtId="0" fontId="14" fillId="0" borderId="1" xfId="0" applyFont="1" applyBorder="1" applyAlignment="1">
      <alignment vertical="center" wrapText="1"/>
    </xf>
    <xf numFmtId="0" fontId="0" fillId="0" borderId="4" xfId="0" applyBorder="1"/>
    <xf numFmtId="0" fontId="6" fillId="0" borderId="1" xfId="0" applyFont="1" applyBorder="1" applyAlignment="1">
      <alignment wrapText="1"/>
    </xf>
    <xf numFmtId="0" fontId="14" fillId="0" borderId="1" xfId="0" applyFont="1" applyBorder="1" applyAlignment="1">
      <alignment wrapText="1"/>
    </xf>
    <xf numFmtId="0" fontId="4" fillId="3" borderId="4" xfId="0" applyFont="1" applyFill="1" applyBorder="1"/>
    <xf numFmtId="0" fontId="0" fillId="8" borderId="4" xfId="0" applyFill="1" applyBorder="1"/>
    <xf numFmtId="0" fontId="0" fillId="9" borderId="4" xfId="0" applyFill="1" applyBorder="1"/>
    <xf numFmtId="0" fontId="0" fillId="10" borderId="4" xfId="0" applyFill="1" applyBorder="1"/>
    <xf numFmtId="0" fontId="0" fillId="11" borderId="4" xfId="0" applyFill="1" applyBorder="1"/>
    <xf numFmtId="0" fontId="0" fillId="12" borderId="4" xfId="0" applyFill="1" applyBorder="1"/>
    <xf numFmtId="0" fontId="0" fillId="13" borderId="4" xfId="0" applyFill="1" applyBorder="1"/>
    <xf numFmtId="0" fontId="16" fillId="0" borderId="1" xfId="0" applyFont="1" applyBorder="1"/>
    <xf numFmtId="0" fontId="15" fillId="0" borderId="1" xfId="0" applyFont="1" applyBorder="1"/>
    <xf numFmtId="0" fontId="19" fillId="14" borderId="6" xfId="0" applyFont="1" applyFill="1" applyBorder="1" applyAlignment="1">
      <alignment wrapText="1"/>
    </xf>
    <xf numFmtId="0" fontId="22" fillId="0" borderId="7" xfId="0" applyFont="1" applyBorder="1"/>
    <xf numFmtId="0" fontId="4" fillId="6" borderId="4" xfId="0" applyFont="1" applyFill="1" applyBorder="1" applyAlignment="1">
      <alignment horizontal="left" vertical="top"/>
    </xf>
    <xf numFmtId="0" fontId="4" fillId="7" borderId="4" xfId="0" applyFont="1" applyFill="1" applyBorder="1" applyAlignment="1">
      <alignment horizontal="left" vertical="top"/>
    </xf>
    <xf numFmtId="0" fontId="4" fillId="3" borderId="4" xfId="0" applyFont="1" applyFill="1" applyBorder="1" applyAlignment="1">
      <alignment horizontal="left" vertical="top"/>
    </xf>
    <xf numFmtId="0" fontId="17" fillId="7" borderId="4" xfId="0" applyFont="1" applyFill="1" applyBorder="1" applyAlignment="1">
      <alignment horizontal="left" vertical="top"/>
    </xf>
    <xf numFmtId="0" fontId="6" fillId="0" borderId="4" xfId="0" applyFont="1" applyBorder="1" applyAlignment="1">
      <alignment horizontal="left" vertical="top"/>
    </xf>
    <xf numFmtId="0" fontId="7" fillId="0" borderId="4" xfId="0" applyFont="1" applyBorder="1" applyAlignment="1">
      <alignment horizontal="left" vertical="top"/>
    </xf>
    <xf numFmtId="0" fontId="6" fillId="15" borderId="4" xfId="0" applyFont="1" applyFill="1" applyBorder="1" applyAlignment="1">
      <alignment horizontal="left" vertical="top"/>
    </xf>
    <xf numFmtId="4" fontId="6" fillId="15" borderId="4" xfId="0" applyNumberFormat="1" applyFont="1" applyFill="1" applyBorder="1" applyAlignment="1">
      <alignment horizontal="left" vertical="top"/>
    </xf>
    <xf numFmtId="2" fontId="6" fillId="15" borderId="4" xfId="0" applyNumberFormat="1" applyFont="1" applyFill="1" applyBorder="1" applyAlignment="1">
      <alignment horizontal="left" vertical="top"/>
    </xf>
    <xf numFmtId="2" fontId="0" fillId="15" borderId="4" xfId="0" applyNumberFormat="1" applyFill="1" applyBorder="1" applyAlignment="1">
      <alignment horizontal="left" vertical="top"/>
    </xf>
    <xf numFmtId="0" fontId="0" fillId="15" borderId="4" xfId="0" applyFill="1" applyBorder="1" applyAlignment="1">
      <alignment horizontal="left" vertical="top"/>
    </xf>
    <xf numFmtId="0" fontId="0" fillId="0" borderId="4" xfId="0" applyBorder="1" applyAlignment="1">
      <alignment horizontal="left" vertical="top"/>
    </xf>
    <xf numFmtId="2" fontId="0" fillId="0" borderId="4" xfId="0" applyNumberFormat="1" applyBorder="1" applyAlignment="1">
      <alignment horizontal="left" vertical="top"/>
    </xf>
    <xf numFmtId="14" fontId="0" fillId="0" borderId="4" xfId="0" applyNumberFormat="1" applyBorder="1" applyAlignment="1">
      <alignment horizontal="left" vertical="top"/>
    </xf>
    <xf numFmtId="4" fontId="0" fillId="0" borderId="4" xfId="0" applyNumberFormat="1" applyBorder="1" applyAlignment="1">
      <alignment horizontal="left" vertical="top"/>
    </xf>
    <xf numFmtId="10" fontId="0" fillId="0" borderId="4" xfId="0" applyNumberFormat="1" applyBorder="1" applyAlignment="1">
      <alignment horizontal="left" vertical="top"/>
    </xf>
    <xf numFmtId="0" fontId="0" fillId="0" borderId="4" xfId="0" applyBorder="1" applyAlignment="1">
      <alignment horizontal="left" vertical="top" wrapText="1"/>
    </xf>
    <xf numFmtId="14" fontId="0" fillId="0" borderId="4" xfId="0" applyNumberFormat="1" applyBorder="1" applyAlignment="1">
      <alignment horizontal="left" vertical="top" wrapText="1"/>
    </xf>
    <xf numFmtId="0" fontId="7" fillId="0" borderId="4" xfId="0" applyFont="1" applyBorder="1" applyAlignment="1">
      <alignment horizontal="left" vertical="top" wrapText="1"/>
    </xf>
    <xf numFmtId="4" fontId="0" fillId="15" borderId="4" xfId="0" applyNumberFormat="1" applyFill="1" applyBorder="1" applyAlignment="1">
      <alignment horizontal="left" vertical="top"/>
    </xf>
    <xf numFmtId="0" fontId="7" fillId="5" borderId="4" xfId="0" applyFont="1" applyFill="1" applyBorder="1" applyAlignment="1">
      <alignment horizontal="left" vertical="top"/>
    </xf>
    <xf numFmtId="0" fontId="25" fillId="0" borderId="7" xfId="0" applyFont="1" applyBorder="1" applyAlignment="1">
      <alignment horizontal="left" vertical="top" wrapText="1"/>
    </xf>
    <xf numFmtId="0" fontId="20" fillId="0" borderId="1" xfId="0" applyFont="1" applyBorder="1" applyAlignment="1">
      <alignment wrapText="1"/>
    </xf>
    <xf numFmtId="0" fontId="22" fillId="0" borderId="1" xfId="0" applyFont="1" applyBorder="1"/>
    <xf numFmtId="0" fontId="4" fillId="3" borderId="1" xfId="0" applyFont="1" applyFill="1" applyBorder="1" applyAlignment="1">
      <alignment vertical="center"/>
    </xf>
    <xf numFmtId="0" fontId="14" fillId="0" borderId="1" xfId="0" applyFont="1" applyBorder="1" applyAlignment="1">
      <alignment vertical="center"/>
    </xf>
    <xf numFmtId="0" fontId="0" fillId="0" borderId="4" xfId="0" applyBorder="1" applyAlignment="1">
      <alignment vertical="center"/>
    </xf>
    <xf numFmtId="0" fontId="0" fillId="0" borderId="0" xfId="0" applyAlignment="1">
      <alignment vertical="center"/>
    </xf>
    <xf numFmtId="0" fontId="22" fillId="0" borderId="0" xfId="0" applyFont="1"/>
    <xf numFmtId="0" fontId="22" fillId="0" borderId="4" xfId="0" applyFont="1" applyBorder="1"/>
    <xf numFmtId="0" fontId="15" fillId="0" borderId="1" xfId="0" applyFont="1" applyBorder="1" applyAlignment="1">
      <alignment wrapText="1"/>
    </xf>
    <xf numFmtId="0" fontId="28" fillId="0" borderId="1" xfId="0" applyFont="1" applyBorder="1"/>
    <xf numFmtId="0" fontId="28" fillId="0" borderId="6" xfId="0" applyFont="1" applyBorder="1"/>
    <xf numFmtId="0" fontId="28" fillId="0" borderId="3" xfId="0" applyFont="1" applyBorder="1"/>
    <xf numFmtId="0" fontId="29" fillId="16" borderId="7" xfId="0" applyFont="1" applyFill="1" applyBorder="1"/>
    <xf numFmtId="0" fontId="29" fillId="16" borderId="3" xfId="0" applyFont="1" applyFill="1" applyBorder="1"/>
    <xf numFmtId="0" fontId="30" fillId="17" borderId="3" xfId="0" applyFont="1" applyFill="1" applyBorder="1"/>
    <xf numFmtId="0" fontId="30" fillId="17" borderId="7" xfId="0" applyFont="1" applyFill="1" applyBorder="1"/>
    <xf numFmtId="0" fontId="29" fillId="16" borderId="7" xfId="0" applyFont="1" applyFill="1" applyBorder="1" applyAlignment="1">
      <alignment wrapText="1"/>
    </xf>
    <xf numFmtId="0" fontId="31" fillId="0" borderId="3" xfId="0" applyFont="1" applyBorder="1"/>
    <xf numFmtId="0" fontId="31" fillId="0" borderId="7" xfId="0" applyFont="1" applyBorder="1"/>
    <xf numFmtId="14" fontId="22" fillId="0" borderId="7" xfId="0" applyNumberFormat="1" applyFont="1" applyBorder="1"/>
    <xf numFmtId="14" fontId="29" fillId="16" borderId="7" xfId="0" applyNumberFormat="1" applyFont="1" applyFill="1" applyBorder="1"/>
    <xf numFmtId="14" fontId="30" fillId="17" borderId="7" xfId="0" applyNumberFormat="1" applyFont="1" applyFill="1" applyBorder="1"/>
    <xf numFmtId="4" fontId="29" fillId="16" borderId="7" xfId="0" applyNumberFormat="1" applyFont="1" applyFill="1" applyBorder="1"/>
    <xf numFmtId="0" fontId="22" fillId="0" borderId="3" xfId="0" applyFont="1" applyBorder="1"/>
    <xf numFmtId="0" fontId="29" fillId="16" borderId="1" xfId="0" applyFont="1" applyFill="1" applyBorder="1"/>
    <xf numFmtId="0" fontId="29" fillId="16" borderId="6" xfId="0" applyFont="1" applyFill="1" applyBorder="1"/>
    <xf numFmtId="0" fontId="4" fillId="3" borderId="1" xfId="0" applyFont="1" applyFill="1" applyBorder="1" applyAlignment="1">
      <alignment horizontal="center"/>
    </xf>
    <xf numFmtId="0" fontId="21" fillId="0" borderId="1" xfId="0" applyFont="1" applyBorder="1"/>
    <xf numFmtId="0" fontId="14" fillId="0" borderId="1" xfId="0" quotePrefix="1" applyFont="1" applyBorder="1"/>
    <xf numFmtId="0" fontId="18" fillId="0" borderId="1" xfId="0" applyFont="1" applyBorder="1"/>
    <xf numFmtId="0" fontId="0" fillId="0" borderId="1" xfId="0" applyBorder="1" applyAlignment="1">
      <alignment vertical="center"/>
    </xf>
    <xf numFmtId="0" fontId="4" fillId="19" borderId="1" xfId="0" applyFont="1" applyFill="1" applyBorder="1"/>
    <xf numFmtId="0" fontId="14" fillId="19" borderId="1" xfId="0" applyFont="1" applyFill="1" applyBorder="1"/>
    <xf numFmtId="0" fontId="0" fillId="19" borderId="1" xfId="0" applyFill="1" applyBorder="1"/>
    <xf numFmtId="0" fontId="0" fillId="19" borderId="0" xfId="0" applyFill="1"/>
    <xf numFmtId="0" fontId="23" fillId="0" borderId="1" xfId="0" applyFont="1" applyBorder="1"/>
    <xf numFmtId="0" fontId="23" fillId="0" borderId="1" xfId="0" applyFont="1" applyBorder="1" applyAlignment="1">
      <alignment vertical="center"/>
    </xf>
    <xf numFmtId="0" fontId="24" fillId="0" borderId="1" xfId="0" applyFont="1" applyBorder="1" applyAlignment="1">
      <alignment vertical="center"/>
    </xf>
    <xf numFmtId="0" fontId="23" fillId="20" borderId="1" xfId="0" applyFont="1" applyFill="1" applyBorder="1" applyAlignment="1">
      <alignment vertical="center"/>
    </xf>
    <xf numFmtId="0" fontId="26" fillId="21" borderId="1" xfId="0" applyFont="1" applyFill="1" applyBorder="1" applyAlignment="1">
      <alignment vertical="center"/>
    </xf>
    <xf numFmtId="0" fontId="0" fillId="18" borderId="4" xfId="0" applyFill="1" applyBorder="1" applyAlignment="1">
      <alignment vertical="center" wrapText="1"/>
    </xf>
    <xf numFmtId="0" fontId="23" fillId="22" borderId="1" xfId="0" applyFont="1" applyFill="1" applyBorder="1" applyAlignment="1">
      <alignment vertical="top" wrapText="1"/>
    </xf>
    <xf numFmtId="0" fontId="0" fillId="0" borderId="8" xfId="0" applyBorder="1"/>
    <xf numFmtId="0" fontId="22" fillId="0" borderId="8" xfId="0" applyFont="1" applyBorder="1"/>
    <xf numFmtId="0" fontId="0" fillId="0" borderId="8" xfId="0" applyBorder="1" applyAlignment="1">
      <alignment vertical="center"/>
    </xf>
    <xf numFmtId="0" fontId="32" fillId="20" borderId="1" xfId="0" applyFont="1" applyFill="1" applyBorder="1" applyAlignment="1">
      <alignment vertical="center"/>
    </xf>
    <xf numFmtId="0" fontId="13" fillId="3" borderId="4" xfId="0" applyFont="1" applyFill="1" applyBorder="1" applyAlignment="1">
      <alignment horizontal="left" vertical="top" wrapText="1"/>
    </xf>
    <xf numFmtId="0" fontId="4" fillId="3" borderId="1" xfId="0" applyFont="1" applyFill="1" applyBorder="1" applyAlignment="1">
      <alignment vertical="top"/>
    </xf>
    <xf numFmtId="0" fontId="23" fillId="0" borderId="1" xfId="0" applyFont="1" applyBorder="1" applyAlignment="1">
      <alignment vertical="top"/>
    </xf>
    <xf numFmtId="0" fontId="23" fillId="0" borderId="1" xfId="0" applyFont="1" applyBorder="1" applyAlignment="1">
      <alignment vertical="top" wrapText="1"/>
    </xf>
    <xf numFmtId="0" fontId="26" fillId="21" borderId="1" xfId="0" applyFont="1" applyFill="1" applyBorder="1" applyAlignment="1">
      <alignment vertical="top" wrapText="1"/>
    </xf>
    <xf numFmtId="0" fontId="0" fillId="0" borderId="4" xfId="0" applyBorder="1" applyAlignment="1">
      <alignment vertical="top"/>
    </xf>
    <xf numFmtId="0" fontId="0" fillId="22" borderId="4" xfId="0" applyFill="1" applyBorder="1" applyAlignment="1">
      <alignment vertical="top" wrapText="1"/>
    </xf>
    <xf numFmtId="0" fontId="0" fillId="0" borderId="8" xfId="0" applyBorder="1" applyAlignment="1">
      <alignment vertical="top"/>
    </xf>
    <xf numFmtId="0" fontId="0" fillId="0" borderId="0" xfId="0" applyAlignment="1">
      <alignment vertical="top"/>
    </xf>
    <xf numFmtId="0" fontId="28" fillId="0" borderId="4" xfId="0" applyFont="1" applyBorder="1"/>
    <xf numFmtId="0" fontId="30" fillId="17" borderId="4" xfId="0" applyFont="1" applyFill="1" applyBorder="1"/>
    <xf numFmtId="0" fontId="35" fillId="0" borderId="4" xfId="0" applyFont="1" applyBorder="1"/>
    <xf numFmtId="0" fontId="0" fillId="20" borderId="4" xfId="0" applyFill="1" applyBorder="1" applyAlignment="1">
      <alignment vertical="center"/>
    </xf>
    <xf numFmtId="0" fontId="33" fillId="21" borderId="4" xfId="0" applyFont="1" applyFill="1" applyBorder="1" applyAlignment="1">
      <alignment vertical="center"/>
    </xf>
    <xf numFmtId="0" fontId="0" fillId="0" borderId="0" xfId="0" applyAlignment="1">
      <alignment wrapText="1"/>
    </xf>
    <xf numFmtId="0" fontId="0" fillId="0" borderId="4" xfId="0" applyBorder="1" applyAlignment="1">
      <alignment vertical="top" wrapText="1"/>
    </xf>
    <xf numFmtId="0" fontId="36" fillId="0" borderId="0" xfId="0" applyFont="1"/>
    <xf numFmtId="0" fontId="38" fillId="0" borderId="4" xfId="0" applyFont="1" applyBorder="1"/>
    <xf numFmtId="0" fontId="0" fillId="0" borderId="10" xfId="0" applyBorder="1"/>
    <xf numFmtId="0" fontId="15" fillId="19" borderId="1" xfId="0" applyFont="1" applyFill="1" applyBorder="1"/>
    <xf numFmtId="0" fontId="19" fillId="14" borderId="1" xfId="0" applyFont="1" applyFill="1" applyBorder="1" applyAlignment="1">
      <alignment wrapText="1"/>
    </xf>
    <xf numFmtId="0" fontId="20" fillId="0" borderId="6" xfId="0" applyFont="1" applyBorder="1" applyAlignment="1">
      <alignment horizontal="left" vertical="top" wrapText="1"/>
    </xf>
    <xf numFmtId="0" fontId="20" fillId="0" borderId="7" xfId="0" applyFont="1" applyBorder="1" applyAlignment="1">
      <alignment horizontal="left" vertical="top" wrapText="1"/>
    </xf>
    <xf numFmtId="0" fontId="20" fillId="0" borderId="7" xfId="0" applyFont="1" applyBorder="1" applyAlignment="1">
      <alignment horizontal="left" vertical="top"/>
    </xf>
    <xf numFmtId="0" fontId="18" fillId="0" borderId="7" xfId="0" applyFont="1" applyBorder="1"/>
    <xf numFmtId="0" fontId="22" fillId="23" borderId="7" xfId="0" applyFont="1" applyFill="1" applyBorder="1"/>
    <xf numFmtId="14" fontId="18" fillId="23" borderId="7" xfId="0" applyNumberFormat="1" applyFont="1" applyFill="1" applyBorder="1"/>
    <xf numFmtId="0" fontId="37" fillId="23" borderId="9" xfId="0" applyFont="1" applyFill="1" applyBorder="1"/>
    <xf numFmtId="0" fontId="0" fillId="23" borderId="9" xfId="0" applyFill="1" applyBorder="1"/>
    <xf numFmtId="14" fontId="22" fillId="23" borderId="7" xfId="0" applyNumberFormat="1" applyFont="1" applyFill="1" applyBorder="1"/>
    <xf numFmtId="2" fontId="22" fillId="0" borderId="7" xfId="0" applyNumberFormat="1" applyFont="1" applyBorder="1"/>
    <xf numFmtId="2" fontId="22" fillId="23" borderId="7" xfId="0" applyNumberFormat="1" applyFont="1" applyFill="1" applyBorder="1"/>
    <xf numFmtId="0" fontId="39" fillId="0" borderId="0" xfId="0" applyFont="1"/>
    <xf numFmtId="0" fontId="0" fillId="0" borderId="0" xfId="0" pivotButton="1"/>
    <xf numFmtId="0" fontId="0" fillId="0" borderId="4" xfId="0" applyBorder="1" applyAlignment="1">
      <alignment horizontal="left" vertical="top"/>
    </xf>
    <xf numFmtId="4" fontId="0" fillId="0" borderId="4" xfId="0" applyNumberFormat="1" applyBorder="1" applyAlignment="1">
      <alignment horizontal="left" vertical="top"/>
    </xf>
    <xf numFmtId="2" fontId="0" fillId="0" borderId="4" xfId="0" applyNumberFormat="1" applyBorder="1" applyAlignment="1">
      <alignment horizontal="left" vertical="top"/>
    </xf>
    <xf numFmtId="14" fontId="0" fillId="0" borderId="4" xfId="0" applyNumberFormat="1" applyBorder="1" applyAlignment="1">
      <alignment horizontal="left" vertical="top"/>
    </xf>
    <xf numFmtId="0" fontId="0" fillId="15" borderId="4" xfId="0" applyFill="1" applyBorder="1" applyAlignment="1">
      <alignment horizontal="left" vertical="top"/>
    </xf>
    <xf numFmtId="0" fontId="6" fillId="15" borderId="4" xfId="0" applyFont="1" applyFill="1" applyBorder="1" applyAlignment="1">
      <alignment horizontal="left" vertical="top"/>
    </xf>
    <xf numFmtId="2" fontId="0" fillId="15" borderId="4" xfId="0" applyNumberFormat="1" applyFill="1" applyBorder="1" applyAlignment="1">
      <alignment horizontal="left" vertical="top"/>
    </xf>
    <xf numFmtId="2" fontId="6" fillId="15" borderId="4" xfId="0" applyNumberFormat="1" applyFont="1" applyFill="1" applyBorder="1" applyAlignment="1">
      <alignment horizontal="left" vertical="top"/>
    </xf>
    <xf numFmtId="0" fontId="4" fillId="7" borderId="4" xfId="0" applyFont="1" applyFill="1" applyBorder="1" applyAlignment="1">
      <alignment horizontal="left" vertical="top"/>
    </xf>
    <xf numFmtId="0" fontId="13" fillId="3" borderId="4" xfId="0" applyFont="1" applyFill="1" applyBorder="1" applyAlignment="1">
      <alignment horizontal="left" vertical="top" wrapText="1"/>
    </xf>
    <xf numFmtId="0" fontId="4" fillId="6" borderId="4" xfId="0" applyFont="1" applyFill="1" applyBorder="1" applyAlignment="1">
      <alignment horizontal="left" vertical="top"/>
    </xf>
    <xf numFmtId="0" fontId="4" fillId="3" borderId="1" xfId="0" applyFont="1" applyFill="1" applyBorder="1" applyAlignment="1">
      <alignment horizontal="center"/>
    </xf>
    <xf numFmtId="0" fontId="20" fillId="0" borderId="2" xfId="0" applyFont="1" applyBorder="1" applyAlignment="1">
      <alignment horizontal="left" vertical="top" wrapText="1"/>
    </xf>
    <xf numFmtId="0" fontId="20" fillId="0" borderId="5" xfId="0" applyFont="1" applyBorder="1" applyAlignment="1">
      <alignment horizontal="left" vertical="top" wrapText="1"/>
    </xf>
    <xf numFmtId="0" fontId="20" fillId="0" borderId="3" xfId="0" applyFont="1" applyBorder="1" applyAlignment="1">
      <alignment horizontal="left" vertical="top" wrapText="1"/>
    </xf>
  </cellXfs>
  <cellStyles count="2">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[China end to end test (1).xlsx]Sheet1!PivotTable1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Integration</a:t>
            </a:r>
            <a:r>
              <a:rPr lang="en-US" baseline="0"/>
              <a:t> Auto Test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9050">
            <a:solidFill>
              <a:schemeClr val="lt1"/>
            </a:solidFill>
          </a:ln>
          <a:effectLst/>
        </c:spPr>
      </c:pivotFmt>
      <c:pivotFmt>
        <c:idx val="2"/>
        <c:spPr>
          <a:solidFill>
            <a:srgbClr val="00B050"/>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374C-4BB9-BB1A-ACFF45794F54}"/>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74C-4BB9-BB1A-ACFF45794F54}"/>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Failed</c:v>
                </c:pt>
                <c:pt idx="1">
                  <c:v>Success</c:v>
                </c:pt>
              </c:strCache>
            </c:strRef>
          </c:cat>
          <c:val>
            <c:numRef>
              <c:f>Sheet1!$B$4:$B$6</c:f>
              <c:numCache>
                <c:formatCode>General</c:formatCode>
                <c:ptCount val="2"/>
                <c:pt idx="0">
                  <c:v>13</c:v>
                </c:pt>
                <c:pt idx="1">
                  <c:v>3</c:v>
                </c:pt>
              </c:numCache>
            </c:numRef>
          </c:val>
          <c:extLst>
            <c:ext xmlns:c16="http://schemas.microsoft.com/office/drawing/2014/chart" uri="{C3380CC4-5D6E-409C-BE32-E72D297353CC}">
              <c16:uniqueId val="{00000000-526D-4630-8A95-74A2AB02A2F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215412</xdr:colOff>
      <xdr:row>0</xdr:row>
      <xdr:rowOff>20516</xdr:rowOff>
    </xdr:from>
    <xdr:to>
      <xdr:col>3</xdr:col>
      <xdr:colOff>1780443</xdr:colOff>
      <xdr:row>13</xdr:row>
      <xdr:rowOff>61791</xdr:rowOff>
    </xdr:to>
    <xdr:graphicFrame macro="">
      <xdr:nvGraphicFramePr>
        <xdr:cNvPr id="2" name="Chart 1">
          <a:extLst>
            <a:ext uri="{FF2B5EF4-FFF2-40B4-BE49-F238E27FC236}">
              <a16:creationId xmlns:a16="http://schemas.microsoft.com/office/drawing/2014/main" id="{2B20B89D-A961-AE1B-6185-6F85A888A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5.620022453702" createdVersion="8" refreshedVersion="8" minRefreshableVersion="3" recordCount="43" xr:uid="{822CD721-401C-4F72-AE15-C2E2FBA69FEC}">
  <cacheSource type="worksheet">
    <worksheetSource ref="A1:E1048576" sheet="Deals Automated"/>
  </cacheSource>
  <cacheFields count="5">
    <cacheField name="Business Data" numFmtId="0">
      <sharedItems containsBlank="1"/>
    </cacheField>
    <cacheField name="New Contract Number" numFmtId="0">
      <sharedItems containsBlank="1"/>
    </cacheField>
    <cacheField name="Type" numFmtId="0">
      <sharedItems containsBlank="1"/>
    </cacheField>
    <cacheField name="Automation Status" numFmtId="0">
      <sharedItems containsBlank="1" count="4">
        <s v="Completed"/>
        <s v="Old Data"/>
        <m/>
        <s v="Waiting for a carification from business"/>
      </sharedItems>
    </cacheField>
    <cacheField name="Landed in Odessa" numFmtId="0">
      <sharedItems containsBlank="1" count="4">
        <s v="Success"/>
        <s v="Failed"/>
        <s v="Old Data"/>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
  <r>
    <s v="QT-CHN-LE-2026-1586"/>
    <s v="QT-CHN-DL-AUTOMATION-83537"/>
    <s v="Direct Lease"/>
    <x v="0"/>
    <x v="0"/>
  </r>
  <r>
    <s v="QT-CHN-LE-2026-1609"/>
    <s v="QT-CHN-AOR-AUTOMATION-557"/>
    <s v="AOR"/>
    <x v="0"/>
    <x v="1"/>
  </r>
  <r>
    <s v="QT-CHN-LE-2026-1621"/>
    <s v="QT-CHN-SLB-AUTOMATION-71121"/>
    <s v="SLB"/>
    <x v="0"/>
    <x v="1"/>
  </r>
  <r>
    <s v="QT-HKG-LE-2026-133"/>
    <m/>
    <s v="SLB"/>
    <x v="1"/>
    <x v="2"/>
  </r>
  <r>
    <s v="QT-CHN-LE-2025-1480"/>
    <m/>
    <s v="Direct Lease"/>
    <x v="1"/>
    <x v="2"/>
  </r>
  <r>
    <s v="QT-CHN-LE-2026-1516"/>
    <m/>
    <s v="Direct Lease"/>
    <x v="1"/>
    <x v="2"/>
  </r>
  <r>
    <s v="QT-CHN-LE-2026-1522"/>
    <m/>
    <s v="Direct Lease"/>
    <x v="1"/>
    <x v="2"/>
  </r>
  <r>
    <s v="QT-HKG-LE-2026-116"/>
    <m/>
    <s v="Direct Lease"/>
    <x v="1"/>
    <x v="2"/>
  </r>
  <r>
    <s v="QT-CHN-LE-2025-1481"/>
    <m/>
    <s v="SLB"/>
    <x v="1"/>
    <x v="2"/>
  </r>
  <r>
    <s v="QT-CHN-LE-2026-1502"/>
    <m/>
    <s v="SLB"/>
    <x v="1"/>
    <x v="2"/>
  </r>
  <r>
    <s v="QT-CHN-LE-2025-1482"/>
    <m/>
    <s v="SLB"/>
    <x v="1"/>
    <x v="2"/>
  </r>
  <r>
    <s v="QT-CHN-LE-2026-1503"/>
    <m/>
    <s v="SLB"/>
    <x v="1"/>
    <x v="2"/>
  </r>
  <r>
    <s v="QT-HKG-LE-2025-110"/>
    <m/>
    <s v="Direct Lease"/>
    <x v="1"/>
    <x v="2"/>
  </r>
  <r>
    <s v="QT-HKG-LE-2026-117"/>
    <m/>
    <s v="Direct Lease"/>
    <x v="1"/>
    <x v="2"/>
  </r>
  <r>
    <s v="QT-CHN-LE-2025-1483"/>
    <m/>
    <s v="Direct Lease"/>
    <x v="1"/>
    <x v="2"/>
  </r>
  <r>
    <s v="QT-CHN-LE-2025-1484"/>
    <m/>
    <s v="Direct Lease"/>
    <x v="1"/>
    <x v="2"/>
  </r>
  <r>
    <s v="QT-CHN-LE-2025-1489"/>
    <m/>
    <s v="Direct Lease"/>
    <x v="1"/>
    <x v="2"/>
  </r>
  <r>
    <s v="QT-CHN-LE-2026-1656"/>
    <s v="QT-CHN-DL-AUTOMATION-37215"/>
    <s v="Direct Lease"/>
    <x v="0"/>
    <x v="1"/>
  </r>
  <r>
    <s v="QT-CHN-LE-2026-1657"/>
    <s v="QT-CHN-DL-AUTOMATION-44211"/>
    <s v="Direct Lease"/>
    <x v="0"/>
    <x v="1"/>
  </r>
  <r>
    <s v="QT-CHN-LE-2026-1655"/>
    <s v="QT-CHN-SLB-AUTOMATION-17880"/>
    <s v="SLB"/>
    <x v="0"/>
    <x v="1"/>
  </r>
  <r>
    <s v="QT-CHN-LE-2026-1658"/>
    <s v="QT-CHN-SLB-AUTOMATION-38396"/>
    <s v="SLB"/>
    <x v="0"/>
    <x v="0"/>
  </r>
  <r>
    <s v="QT-CHN-LE-2026-1659"/>
    <m/>
    <s v="Operating Lease"/>
    <x v="2"/>
    <x v="3"/>
  </r>
  <r>
    <s v="QT-CHN-LE-2026-1624"/>
    <s v="QT-CHN-OL-AUTOMATION-52447"/>
    <s v="Operating Lease"/>
    <x v="0"/>
    <x v="1"/>
  </r>
  <r>
    <s v="QT-CHN-LE-2026-1660"/>
    <m/>
    <s v="Direct Lease import"/>
    <x v="0"/>
    <x v="1"/>
  </r>
  <r>
    <s v="QT-CHN-LE-2026-1662"/>
    <m/>
    <s v="SLB import"/>
    <x v="3"/>
    <x v="3"/>
  </r>
  <r>
    <s v="QT-CHN-LE-2026-1664"/>
    <m/>
    <s v="AOR"/>
    <x v="2"/>
    <x v="3"/>
  </r>
  <r>
    <s v="QT-CHN-LE-2026-1665"/>
    <s v="QT-CHN-DL-AUTOMATION-9065"/>
    <s v="Direct Lease"/>
    <x v="0"/>
    <x v="1"/>
  </r>
  <r>
    <s v="QT-CHN-LE-2026-1666"/>
    <s v="QT-CHN-SLB-AUTOMATION-67627"/>
    <s v="SLB"/>
    <x v="0"/>
    <x v="1"/>
  </r>
  <r>
    <s v="QT-CHN-LE-2026-1667"/>
    <m/>
    <s v="SLB"/>
    <x v="2"/>
    <x v="3"/>
  </r>
  <r>
    <s v="QT-CHN-LE-2026-1668"/>
    <m/>
    <s v="Direct Lease"/>
    <x v="2"/>
    <x v="3"/>
  </r>
  <r>
    <s v="QT-CHN-LE-2026-1669"/>
    <s v="QT-CHN-SLB-AUTOMATION-76918"/>
    <s v="SLB"/>
    <x v="0"/>
    <x v="0"/>
  </r>
  <r>
    <s v="QT-CHN-LE-2026-1670"/>
    <s v="QT-CHN-DL-AUTOMATION-12161"/>
    <s v="Direct Lease"/>
    <x v="0"/>
    <x v="1"/>
  </r>
  <r>
    <s v="QT-HKG-LE-2026-145"/>
    <m/>
    <s v="Direct Lease"/>
    <x v="2"/>
    <x v="3"/>
  </r>
  <r>
    <s v="QT-CHN-LE-2026-1672"/>
    <s v="QT-CHN-AOR-AUTOMATION-568"/>
    <s v="AOR"/>
    <x v="0"/>
    <x v="1"/>
  </r>
  <r>
    <s v="QT-CHN-LE-2026-1673"/>
    <s v="QT-CHN-AOR-AUTOMATION-40237"/>
    <s v="AOR"/>
    <x v="0"/>
    <x v="1"/>
  </r>
  <r>
    <s v="QT-CHN-LE-2026-1674"/>
    <s v="QT-CHN-DL-AUTOMATION-29326"/>
    <s v="Direct Lease"/>
    <x v="0"/>
    <x v="1"/>
  </r>
  <r>
    <s v="QT-HKG-LE-2026-146"/>
    <m/>
    <s v="Direct Lease"/>
    <x v="2"/>
    <x v="3"/>
  </r>
  <r>
    <s v="QT-CHN-LE-2026-1676"/>
    <m/>
    <s v="Direct Lease"/>
    <x v="2"/>
    <x v="3"/>
  </r>
  <r>
    <s v="QT-CHN-LE-2026-1677"/>
    <m/>
    <s v="SLB"/>
    <x v="2"/>
    <x v="3"/>
  </r>
  <r>
    <s v="QT-HKG-LE-2026-163"/>
    <s v="QT-HKG-DL-AUTOMATION-78369"/>
    <s v="Direct Lease"/>
    <x v="0"/>
    <x v="1"/>
  </r>
  <r>
    <s v="QT-HKG-LE-2026-159"/>
    <m/>
    <s v="SLB"/>
    <x v="2"/>
    <x v="3"/>
  </r>
  <r>
    <s v="QT-HKG-LE-2026-160"/>
    <m/>
    <s v="Direct Lease"/>
    <x v="2"/>
    <x v="3"/>
  </r>
  <r>
    <m/>
    <m/>
    <m/>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3C4A8-9642-4896-827B-FE01FF9273F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B6" firstHeaderRow="1" firstDataRow="1" firstDataCol="1" rowPageCount="1" colPageCount="1"/>
  <pivotFields count="5">
    <pivotField compact="0" outline="0" showAll="0"/>
    <pivotField dataField="1" compact="0" outline="0" showAll="0"/>
    <pivotField compact="0" outline="0" showAll="0"/>
    <pivotField axis="axisPage" compact="0" outline="0" showAll="0">
      <items count="5">
        <item x="0"/>
        <item h="1" x="1"/>
        <item h="1" x="3"/>
        <item h="1" x="2"/>
        <item t="default"/>
      </items>
    </pivotField>
    <pivotField axis="axisRow" compact="0" outline="0" showAll="0">
      <items count="5">
        <item x="1"/>
        <item x="2"/>
        <item x="0"/>
        <item x="3"/>
        <item t="default"/>
      </items>
    </pivotField>
  </pivotFields>
  <rowFields count="1">
    <field x="4"/>
  </rowFields>
  <rowItems count="3">
    <i>
      <x/>
    </i>
    <i>
      <x v="2"/>
    </i>
    <i t="grand">
      <x/>
    </i>
  </rowItems>
  <colItems count="1">
    <i/>
  </colItems>
  <pageFields count="1">
    <pageField fld="3" item="0" hier="-1"/>
  </pageFields>
  <dataFields count="1">
    <dataField name="Count of New Contract Number"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9E8BE-C481-4E30-BEC3-74AF8B28A41A}">
  <dimension ref="A1:I63"/>
  <sheetViews>
    <sheetView tabSelected="1" zoomScale="85" zoomScaleNormal="85" workbookViewId="0">
      <selection activeCell="E21" sqref="E21"/>
    </sheetView>
  </sheetViews>
  <sheetFormatPr defaultColWidth="66.26953125" defaultRowHeight="14.5" x14ac:dyDescent="0.35"/>
  <cols>
    <col min="1" max="1" width="27" bestFit="1" customWidth="1"/>
    <col min="2" max="2" width="15" bestFit="1" customWidth="1"/>
    <col min="3" max="3" width="25.81640625" bestFit="1" customWidth="1"/>
    <col min="4" max="4" width="82.453125" bestFit="1" customWidth="1"/>
    <col min="5" max="5" width="79.453125" bestFit="1" customWidth="1"/>
    <col min="6" max="6" width="58.453125" bestFit="1" customWidth="1"/>
    <col min="7" max="7" width="59.1796875" bestFit="1" customWidth="1"/>
    <col min="8" max="8" width="9.54296875" bestFit="1" customWidth="1"/>
    <col min="9" max="9" width="5.81640625" bestFit="1" customWidth="1"/>
  </cols>
  <sheetData>
    <row r="1" spans="1:9" ht="21.75" customHeight="1" x14ac:dyDescent="0.35">
      <c r="A1" s="15" t="s">
        <v>0</v>
      </c>
      <c r="B1" s="15" t="s">
        <v>1</v>
      </c>
      <c r="C1" s="15" t="s">
        <v>2</v>
      </c>
      <c r="D1" s="15" t="s">
        <v>3</v>
      </c>
      <c r="E1" s="15" t="s">
        <v>4</v>
      </c>
      <c r="F1" s="15" t="s">
        <v>5</v>
      </c>
      <c r="G1" s="15" t="s">
        <v>6</v>
      </c>
      <c r="H1" s="16" t="s">
        <v>7</v>
      </c>
      <c r="I1" s="16" t="s">
        <v>8</v>
      </c>
    </row>
    <row r="2" spans="1:9" x14ac:dyDescent="0.35">
      <c r="A2" s="4" t="s">
        <v>9</v>
      </c>
      <c r="B2" s="5" t="s">
        <v>10</v>
      </c>
      <c r="C2" s="5"/>
      <c r="D2" s="6" t="s">
        <v>11</v>
      </c>
      <c r="E2" s="5"/>
      <c r="F2" s="7"/>
      <c r="G2" s="5"/>
      <c r="H2" s="1"/>
      <c r="I2" s="1"/>
    </row>
    <row r="3" spans="1:9" x14ac:dyDescent="0.35">
      <c r="A3" s="5"/>
      <c r="B3" s="5"/>
      <c r="C3" s="5"/>
      <c r="D3" s="5"/>
      <c r="E3" s="6" t="s">
        <v>12</v>
      </c>
      <c r="F3" s="7" t="s">
        <v>13</v>
      </c>
      <c r="G3" s="5" t="s">
        <v>14</v>
      </c>
      <c r="H3" s="1"/>
      <c r="I3" s="1"/>
    </row>
    <row r="4" spans="1:9" x14ac:dyDescent="0.35">
      <c r="A4" s="5"/>
      <c r="B4" s="5"/>
      <c r="C4" s="5"/>
      <c r="D4" s="5"/>
      <c r="E4" s="6" t="s">
        <v>15</v>
      </c>
      <c r="F4" s="7" t="s">
        <v>16</v>
      </c>
      <c r="G4" s="5" t="s">
        <v>17</v>
      </c>
      <c r="H4" s="1"/>
      <c r="I4" s="1"/>
    </row>
    <row r="5" spans="1:9" x14ac:dyDescent="0.35">
      <c r="A5" s="5"/>
      <c r="B5" s="5"/>
      <c r="C5" s="5"/>
      <c r="D5" s="6" t="s">
        <v>18</v>
      </c>
      <c r="E5" s="5"/>
      <c r="F5" s="7"/>
      <c r="G5" s="5" t="s">
        <v>19</v>
      </c>
      <c r="H5" s="1"/>
      <c r="I5" s="1"/>
    </row>
    <row r="6" spans="1:9" x14ac:dyDescent="0.35">
      <c r="A6" s="5"/>
      <c r="B6" s="5"/>
      <c r="C6" s="5"/>
      <c r="D6" s="5"/>
      <c r="E6" s="6" t="s">
        <v>20</v>
      </c>
      <c r="F6" s="8">
        <v>19207072.48</v>
      </c>
      <c r="G6" s="5" t="s">
        <v>21</v>
      </c>
      <c r="H6" s="1"/>
      <c r="I6" s="1"/>
    </row>
    <row r="7" spans="1:9" x14ac:dyDescent="0.35">
      <c r="A7" s="5"/>
      <c r="B7" s="5"/>
      <c r="C7" s="5"/>
      <c r="D7" s="5"/>
      <c r="E7" s="6" t="s">
        <v>22</v>
      </c>
      <c r="F7" s="7">
        <v>3</v>
      </c>
      <c r="G7" s="5" t="s">
        <v>23</v>
      </c>
      <c r="H7" s="1"/>
      <c r="I7" s="1"/>
    </row>
    <row r="8" spans="1:9" x14ac:dyDescent="0.35">
      <c r="A8" s="5"/>
      <c r="B8" s="5"/>
      <c r="C8" s="5"/>
      <c r="D8" s="5"/>
      <c r="E8" s="6" t="s">
        <v>24</v>
      </c>
      <c r="F8" s="7" t="s">
        <v>25</v>
      </c>
      <c r="G8" s="5" t="s">
        <v>26</v>
      </c>
      <c r="H8" s="1"/>
      <c r="I8" s="1"/>
    </row>
    <row r="9" spans="1:9" x14ac:dyDescent="0.35">
      <c r="A9" s="5"/>
      <c r="B9" s="5"/>
      <c r="C9" s="5"/>
      <c r="D9" s="5"/>
      <c r="E9" s="6" t="s">
        <v>27</v>
      </c>
      <c r="F9" s="7" t="s">
        <v>28</v>
      </c>
      <c r="G9" s="5" t="s">
        <v>29</v>
      </c>
      <c r="H9" s="1"/>
      <c r="I9" s="1"/>
    </row>
    <row r="10" spans="1:9" x14ac:dyDescent="0.35">
      <c r="A10" s="5"/>
      <c r="B10" s="5"/>
      <c r="C10" s="5"/>
      <c r="D10" s="5"/>
      <c r="E10" s="6" t="s">
        <v>30</v>
      </c>
      <c r="F10" s="7" t="s">
        <v>31</v>
      </c>
      <c r="G10" s="5" t="s">
        <v>32</v>
      </c>
      <c r="H10" s="1"/>
      <c r="I10" s="1"/>
    </row>
    <row r="11" spans="1:9" x14ac:dyDescent="0.35">
      <c r="A11" s="5"/>
      <c r="B11" s="5"/>
      <c r="C11" s="5"/>
      <c r="D11" s="5"/>
      <c r="E11" s="6" t="s">
        <v>33</v>
      </c>
      <c r="F11" s="7" t="s">
        <v>34</v>
      </c>
      <c r="G11" s="5" t="s">
        <v>35</v>
      </c>
      <c r="H11" s="1"/>
      <c r="I11" s="1"/>
    </row>
    <row r="12" spans="1:9" x14ac:dyDescent="0.35">
      <c r="A12" s="5"/>
      <c r="B12" s="5"/>
      <c r="C12" s="5"/>
      <c r="D12" s="5"/>
      <c r="E12" s="6" t="s">
        <v>36</v>
      </c>
      <c r="F12" s="9">
        <v>0.1</v>
      </c>
      <c r="G12" s="5" t="s">
        <v>37</v>
      </c>
      <c r="H12" s="1"/>
      <c r="I12" s="1"/>
    </row>
    <row r="13" spans="1:9" x14ac:dyDescent="0.35">
      <c r="A13" s="5"/>
      <c r="B13" s="5"/>
      <c r="C13" s="5"/>
      <c r="D13" s="5"/>
      <c r="E13" s="6" t="s">
        <v>38</v>
      </c>
      <c r="F13" s="7">
        <v>36</v>
      </c>
      <c r="G13" s="5" t="s">
        <v>39</v>
      </c>
      <c r="H13" s="1"/>
      <c r="I13" s="1"/>
    </row>
    <row r="14" spans="1:9" x14ac:dyDescent="0.35">
      <c r="A14" s="5"/>
      <c r="B14" s="5"/>
      <c r="C14" s="5"/>
      <c r="D14" s="5"/>
      <c r="E14" s="6" t="s">
        <v>40</v>
      </c>
      <c r="F14" s="7" t="s">
        <v>41</v>
      </c>
      <c r="G14" s="5" t="s">
        <v>42</v>
      </c>
      <c r="H14" s="1"/>
      <c r="I14" s="1"/>
    </row>
    <row r="15" spans="1:9" x14ac:dyDescent="0.35">
      <c r="A15" s="5"/>
      <c r="B15" s="5"/>
      <c r="C15" s="5"/>
      <c r="D15" s="5"/>
      <c r="E15" s="6" t="s">
        <v>43</v>
      </c>
      <c r="F15" s="7"/>
      <c r="G15" s="5" t="s">
        <v>44</v>
      </c>
      <c r="H15" s="1"/>
      <c r="I15" s="1"/>
    </row>
    <row r="16" spans="1:9" x14ac:dyDescent="0.35">
      <c r="A16" s="5"/>
      <c r="B16" s="5"/>
      <c r="C16" s="5"/>
      <c r="D16" s="5"/>
      <c r="E16" s="6" t="s">
        <v>45</v>
      </c>
      <c r="F16" s="7">
        <v>0</v>
      </c>
      <c r="G16" s="5" t="s">
        <v>46</v>
      </c>
      <c r="H16" s="1"/>
      <c r="I16" s="1"/>
    </row>
    <row r="17" spans="1:9" x14ac:dyDescent="0.35">
      <c r="A17" s="5"/>
      <c r="B17" s="5"/>
      <c r="C17" s="5"/>
      <c r="D17" s="5"/>
      <c r="E17" s="6" t="s">
        <v>47</v>
      </c>
      <c r="F17" s="7" t="s">
        <v>48</v>
      </c>
      <c r="G17" s="5" t="s">
        <v>49</v>
      </c>
      <c r="H17" s="1"/>
      <c r="I17" s="1"/>
    </row>
    <row r="18" spans="1:9" x14ac:dyDescent="0.35">
      <c r="A18" s="5"/>
      <c r="B18" s="5"/>
      <c r="C18" s="5"/>
      <c r="D18" s="5"/>
      <c r="E18" s="6" t="s">
        <v>50</v>
      </c>
      <c r="F18" s="7"/>
      <c r="G18" s="5"/>
      <c r="H18" s="1"/>
      <c r="I18" s="1"/>
    </row>
    <row r="19" spans="1:9" x14ac:dyDescent="0.35">
      <c r="A19" s="5"/>
      <c r="B19" s="5"/>
      <c r="C19" s="5"/>
      <c r="D19" s="5"/>
      <c r="E19" s="6" t="s">
        <v>51</v>
      </c>
      <c r="F19" s="7"/>
      <c r="G19" s="5" t="s">
        <v>52</v>
      </c>
      <c r="H19" s="1"/>
      <c r="I19" s="1"/>
    </row>
    <row r="20" spans="1:9" x14ac:dyDescent="0.35">
      <c r="A20" s="5"/>
      <c r="B20" s="5"/>
      <c r="C20" s="5"/>
      <c r="D20" s="5"/>
      <c r="E20" s="6" t="s">
        <v>53</v>
      </c>
      <c r="F20" s="7"/>
      <c r="G20" s="5" t="s">
        <v>54</v>
      </c>
      <c r="H20" s="1"/>
      <c r="I20" s="1"/>
    </row>
    <row r="21" spans="1:9" ht="84.5" x14ac:dyDescent="0.35">
      <c r="A21" s="5"/>
      <c r="B21" s="5"/>
      <c r="C21" s="5"/>
      <c r="D21" s="5"/>
      <c r="E21" s="6" t="s">
        <v>55</v>
      </c>
      <c r="F21" s="10" t="s">
        <v>56</v>
      </c>
      <c r="G21" s="21" t="s">
        <v>57</v>
      </c>
      <c r="H21" s="1"/>
      <c r="I21" s="1"/>
    </row>
    <row r="22" spans="1:9" x14ac:dyDescent="0.35">
      <c r="A22" s="5"/>
      <c r="B22" s="5"/>
      <c r="C22" s="5"/>
      <c r="D22" s="5"/>
      <c r="E22" s="6" t="s">
        <v>58</v>
      </c>
      <c r="F22" s="7"/>
      <c r="G22" s="5" t="s">
        <v>59</v>
      </c>
      <c r="H22" s="1"/>
      <c r="I22" s="1"/>
    </row>
    <row r="23" spans="1:9" x14ac:dyDescent="0.35">
      <c r="A23" s="5"/>
      <c r="B23" s="5"/>
      <c r="C23" s="5"/>
      <c r="D23" s="6" t="s">
        <v>60</v>
      </c>
      <c r="E23" s="5"/>
      <c r="F23" s="7"/>
      <c r="G23" s="5"/>
      <c r="H23" s="1"/>
      <c r="I23" s="1"/>
    </row>
    <row r="24" spans="1:9" x14ac:dyDescent="0.35">
      <c r="A24" s="5"/>
      <c r="B24" s="5"/>
      <c r="C24" s="5"/>
      <c r="D24" s="6" t="s">
        <v>61</v>
      </c>
      <c r="E24" s="5"/>
      <c r="F24" s="7"/>
      <c r="G24" s="5"/>
      <c r="H24" s="1"/>
      <c r="I24" s="1"/>
    </row>
    <row r="25" spans="1:9" x14ac:dyDescent="0.35">
      <c r="A25" s="5"/>
      <c r="B25" s="5"/>
      <c r="C25" s="5"/>
      <c r="D25" s="6" t="s">
        <v>62</v>
      </c>
      <c r="E25" s="5"/>
      <c r="F25" s="7"/>
      <c r="G25" s="5"/>
      <c r="H25" s="1"/>
      <c r="I25" s="1"/>
    </row>
    <row r="26" spans="1:9" x14ac:dyDescent="0.35">
      <c r="A26" s="5"/>
      <c r="B26" s="5"/>
      <c r="C26" s="5"/>
      <c r="D26" s="6" t="s">
        <v>63</v>
      </c>
      <c r="E26" s="5"/>
      <c r="F26" s="7"/>
      <c r="G26" s="5"/>
      <c r="H26" s="1"/>
      <c r="I26" s="1"/>
    </row>
    <row r="27" spans="1:9" x14ac:dyDescent="0.35">
      <c r="A27" s="5"/>
      <c r="B27" s="5"/>
      <c r="C27" s="5"/>
      <c r="D27" s="6" t="s">
        <v>64</v>
      </c>
      <c r="E27" s="5"/>
      <c r="F27" s="7"/>
      <c r="G27" s="5"/>
      <c r="H27" s="1"/>
      <c r="I27" s="1"/>
    </row>
    <row r="28" spans="1:9" x14ac:dyDescent="0.35">
      <c r="A28" s="11"/>
      <c r="B28" s="11"/>
      <c r="C28" s="11"/>
      <c r="D28" s="12" t="s">
        <v>65</v>
      </c>
      <c r="E28" s="11"/>
      <c r="F28" s="13"/>
      <c r="G28" s="11"/>
      <c r="H28" s="2"/>
      <c r="I28" s="2"/>
    </row>
    <row r="29" spans="1:9" x14ac:dyDescent="0.35">
      <c r="A29" s="5"/>
      <c r="B29" s="5"/>
      <c r="C29" s="5"/>
      <c r="D29" s="6" t="s">
        <v>66</v>
      </c>
      <c r="E29" s="6" t="s">
        <v>67</v>
      </c>
      <c r="F29" s="7"/>
      <c r="G29" s="5"/>
      <c r="H29" s="1"/>
      <c r="I29" s="1"/>
    </row>
    <row r="30" spans="1:9" x14ac:dyDescent="0.35">
      <c r="A30" s="5"/>
      <c r="B30" s="5"/>
      <c r="C30" s="5"/>
      <c r="D30" s="5"/>
      <c r="E30" s="6" t="s">
        <v>68</v>
      </c>
      <c r="F30" s="7"/>
      <c r="G30" s="5" t="s">
        <v>69</v>
      </c>
      <c r="H30" s="1"/>
      <c r="I30" s="1"/>
    </row>
    <row r="31" spans="1:9" x14ac:dyDescent="0.35">
      <c r="A31" s="5"/>
      <c r="B31" s="5"/>
      <c r="C31" s="5"/>
      <c r="D31" s="5"/>
      <c r="E31" s="6" t="s">
        <v>70</v>
      </c>
      <c r="F31" s="7"/>
      <c r="G31" s="5" t="s">
        <v>71</v>
      </c>
      <c r="H31" s="1"/>
      <c r="I31" s="1"/>
    </row>
    <row r="32" spans="1:9" x14ac:dyDescent="0.35">
      <c r="A32" s="5"/>
      <c r="B32" s="5"/>
      <c r="C32" s="5"/>
      <c r="D32" s="5"/>
      <c r="E32" s="6" t="s">
        <v>72</v>
      </c>
      <c r="F32" s="7"/>
      <c r="G32" s="5" t="s">
        <v>73</v>
      </c>
      <c r="H32" s="1"/>
      <c r="I32" s="1"/>
    </row>
    <row r="33" spans="1:9" x14ac:dyDescent="0.35">
      <c r="A33" s="5"/>
      <c r="B33" s="5"/>
      <c r="C33" s="5"/>
      <c r="D33" s="5"/>
      <c r="E33" s="6" t="s">
        <v>74</v>
      </c>
      <c r="F33" s="7"/>
      <c r="G33" s="5" t="s">
        <v>75</v>
      </c>
      <c r="H33" s="1"/>
      <c r="I33" s="1"/>
    </row>
    <row r="34" spans="1:9" x14ac:dyDescent="0.35">
      <c r="A34" s="5"/>
      <c r="B34" s="5"/>
      <c r="C34" s="5"/>
      <c r="D34" s="5"/>
      <c r="E34" s="6" t="s">
        <v>76</v>
      </c>
      <c r="F34" s="7"/>
      <c r="G34" s="5" t="s">
        <v>77</v>
      </c>
      <c r="H34" s="1"/>
      <c r="I34" s="1"/>
    </row>
    <row r="35" spans="1:9" x14ac:dyDescent="0.35">
      <c r="A35" s="5"/>
      <c r="B35" s="5"/>
      <c r="C35" s="5"/>
      <c r="D35" s="5"/>
      <c r="E35" s="6" t="s">
        <v>78</v>
      </c>
      <c r="F35" s="7"/>
      <c r="G35" s="6" t="s">
        <v>79</v>
      </c>
      <c r="H35" s="1"/>
      <c r="I35" s="1"/>
    </row>
    <row r="36" spans="1:9" x14ac:dyDescent="0.35">
      <c r="A36" s="5"/>
      <c r="B36" s="5"/>
      <c r="C36" s="5"/>
      <c r="D36" s="5"/>
      <c r="E36" s="6" t="s">
        <v>80</v>
      </c>
      <c r="F36" s="7"/>
      <c r="G36" s="5" t="s">
        <v>81</v>
      </c>
      <c r="H36" s="1"/>
      <c r="I36" s="1"/>
    </row>
    <row r="37" spans="1:9" x14ac:dyDescent="0.35">
      <c r="A37" s="5"/>
      <c r="B37" s="5"/>
      <c r="C37" s="5"/>
      <c r="D37" s="5"/>
      <c r="E37" s="6" t="s">
        <v>82</v>
      </c>
      <c r="F37" s="7"/>
      <c r="G37" s="5" t="s">
        <v>83</v>
      </c>
      <c r="H37" s="1"/>
      <c r="I37" s="1"/>
    </row>
    <row r="38" spans="1:9" x14ac:dyDescent="0.35">
      <c r="A38" s="5"/>
      <c r="B38" s="5"/>
      <c r="C38" s="5"/>
      <c r="D38" s="5"/>
      <c r="E38" s="6" t="s">
        <v>84</v>
      </c>
      <c r="F38" s="7"/>
      <c r="G38" s="5" t="s">
        <v>85</v>
      </c>
      <c r="H38" s="1"/>
      <c r="I38" s="1"/>
    </row>
    <row r="39" spans="1:9" x14ac:dyDescent="0.35">
      <c r="A39" s="5"/>
      <c r="B39" s="5"/>
      <c r="C39" s="5"/>
      <c r="D39" s="5"/>
      <c r="E39" s="6" t="s">
        <v>86</v>
      </c>
      <c r="F39" s="7"/>
      <c r="G39" s="5" t="s">
        <v>87</v>
      </c>
      <c r="H39" s="1"/>
      <c r="I39" s="1"/>
    </row>
    <row r="40" spans="1:9" x14ac:dyDescent="0.35">
      <c r="A40" s="5"/>
      <c r="B40" s="5"/>
      <c r="C40" s="5"/>
      <c r="D40" s="5"/>
      <c r="E40" s="6" t="s">
        <v>88</v>
      </c>
      <c r="F40" s="7"/>
      <c r="G40" s="5" t="s">
        <v>89</v>
      </c>
      <c r="H40" s="1"/>
      <c r="I40" s="1"/>
    </row>
    <row r="41" spans="1:9" x14ac:dyDescent="0.35">
      <c r="A41" s="5"/>
      <c r="B41" s="5"/>
      <c r="C41" s="5"/>
      <c r="D41" s="5"/>
      <c r="E41" s="6" t="s">
        <v>90</v>
      </c>
      <c r="F41" s="7"/>
      <c r="G41" s="5"/>
      <c r="H41" s="1"/>
      <c r="I41" s="1"/>
    </row>
    <row r="42" spans="1:9" x14ac:dyDescent="0.35">
      <c r="A42" s="5"/>
      <c r="B42" s="5"/>
      <c r="C42" s="5"/>
      <c r="D42" s="5"/>
      <c r="E42" s="6" t="s">
        <v>91</v>
      </c>
      <c r="F42" s="7"/>
      <c r="G42" s="5"/>
      <c r="H42" s="1"/>
      <c r="I42" s="1"/>
    </row>
    <row r="43" spans="1:9" x14ac:dyDescent="0.35">
      <c r="A43" s="11"/>
      <c r="B43" s="11"/>
      <c r="C43" s="11"/>
      <c r="D43" s="12" t="s">
        <v>92</v>
      </c>
      <c r="E43" s="11"/>
      <c r="F43" s="13"/>
      <c r="G43" s="11"/>
      <c r="H43" s="2"/>
      <c r="I43" s="2"/>
    </row>
    <row r="44" spans="1:9" x14ac:dyDescent="0.35">
      <c r="A44" s="5"/>
      <c r="B44" s="5"/>
      <c r="C44" s="5"/>
      <c r="D44" s="6" t="s">
        <v>93</v>
      </c>
      <c r="E44" s="6" t="s">
        <v>94</v>
      </c>
      <c r="F44" s="14" t="s">
        <v>95</v>
      </c>
      <c r="G44" s="6" t="s">
        <v>96</v>
      </c>
      <c r="H44" s="1"/>
      <c r="I44" s="1"/>
    </row>
    <row r="45" spans="1:9" x14ac:dyDescent="0.35">
      <c r="A45" s="5"/>
      <c r="B45" s="5"/>
      <c r="C45" s="5"/>
      <c r="D45" s="6" t="s">
        <v>97</v>
      </c>
      <c r="E45" s="6" t="s">
        <v>98</v>
      </c>
      <c r="F45" s="14" t="s">
        <v>98</v>
      </c>
      <c r="G45" s="6" t="s">
        <v>99</v>
      </c>
      <c r="H45" s="1"/>
      <c r="I45" s="1"/>
    </row>
    <row r="46" spans="1:9" ht="96" x14ac:dyDescent="0.35">
      <c r="A46" s="5"/>
      <c r="B46" s="5"/>
      <c r="C46" s="5"/>
      <c r="D46" s="6" t="s">
        <v>100</v>
      </c>
      <c r="E46" s="6" t="s">
        <v>101</v>
      </c>
      <c r="F46" s="14" t="s">
        <v>98</v>
      </c>
      <c r="G46" s="6" t="s">
        <v>102</v>
      </c>
      <c r="H46" s="1"/>
      <c r="I46" s="1"/>
    </row>
    <row r="47" spans="1:9" ht="24" x14ac:dyDescent="0.35">
      <c r="A47" s="5"/>
      <c r="B47" s="5"/>
      <c r="C47" s="5"/>
      <c r="D47" s="6" t="s">
        <v>103</v>
      </c>
      <c r="E47" s="6" t="s">
        <v>104</v>
      </c>
      <c r="F47" s="14"/>
      <c r="G47" s="6" t="s">
        <v>105</v>
      </c>
      <c r="H47" s="1"/>
      <c r="I47" s="1"/>
    </row>
    <row r="48" spans="1:9" ht="60" x14ac:dyDescent="0.35">
      <c r="A48" s="5"/>
      <c r="B48" s="5"/>
      <c r="C48" s="5"/>
      <c r="D48" s="6" t="s">
        <v>106</v>
      </c>
      <c r="E48" s="6" t="s">
        <v>107</v>
      </c>
      <c r="F48" s="14" t="s">
        <v>98</v>
      </c>
      <c r="G48" s="6" t="s">
        <v>108</v>
      </c>
      <c r="H48" s="1"/>
      <c r="I48" s="1"/>
    </row>
    <row r="49" spans="1:9" ht="24" x14ac:dyDescent="0.35">
      <c r="A49" s="5"/>
      <c r="B49" s="5"/>
      <c r="C49" s="5"/>
      <c r="D49" s="6" t="s">
        <v>109</v>
      </c>
      <c r="E49" s="6" t="s">
        <v>110</v>
      </c>
      <c r="F49" s="14"/>
      <c r="G49" s="6" t="s">
        <v>111</v>
      </c>
      <c r="H49" s="1"/>
      <c r="I49" s="1"/>
    </row>
    <row r="50" spans="1:9" ht="84" x14ac:dyDescent="0.35">
      <c r="A50" s="5"/>
      <c r="B50" s="5"/>
      <c r="C50" s="5"/>
      <c r="D50" s="6" t="s">
        <v>112</v>
      </c>
      <c r="E50" s="6" t="s">
        <v>113</v>
      </c>
      <c r="F50" s="14"/>
      <c r="G50" s="6" t="s">
        <v>114</v>
      </c>
      <c r="H50" s="1"/>
      <c r="I50" s="1"/>
    </row>
    <row r="51" spans="1:9" ht="72" x14ac:dyDescent="0.35">
      <c r="A51" s="5"/>
      <c r="B51" s="5"/>
      <c r="C51" s="5"/>
      <c r="D51" s="6" t="s">
        <v>115</v>
      </c>
      <c r="E51" s="6" t="s">
        <v>116</v>
      </c>
      <c r="F51" s="14" t="s">
        <v>98</v>
      </c>
      <c r="G51" s="6" t="s">
        <v>117</v>
      </c>
      <c r="H51" s="1"/>
      <c r="I51" s="1"/>
    </row>
    <row r="52" spans="1:9" ht="252" x14ac:dyDescent="0.35">
      <c r="A52" s="5"/>
      <c r="B52" s="5"/>
      <c r="C52" s="5"/>
      <c r="D52" s="6" t="s">
        <v>118</v>
      </c>
      <c r="E52" s="6" t="s">
        <v>119</v>
      </c>
      <c r="F52" s="14"/>
      <c r="G52" s="6" t="s">
        <v>120</v>
      </c>
      <c r="H52" s="1"/>
      <c r="I52" s="1"/>
    </row>
    <row r="53" spans="1:9" ht="108" x14ac:dyDescent="0.35">
      <c r="A53" s="5"/>
      <c r="B53" s="5"/>
      <c r="C53" s="5"/>
      <c r="D53" s="6" t="s">
        <v>121</v>
      </c>
      <c r="E53" s="6" t="s">
        <v>122</v>
      </c>
      <c r="F53" s="14" t="s">
        <v>98</v>
      </c>
      <c r="G53" s="6" t="s">
        <v>123</v>
      </c>
      <c r="H53" s="1"/>
      <c r="I53" s="1"/>
    </row>
    <row r="54" spans="1:9" ht="36" x14ac:dyDescent="0.35">
      <c r="A54" s="5"/>
      <c r="B54" s="5"/>
      <c r="C54" s="5"/>
      <c r="D54" s="6" t="s">
        <v>124</v>
      </c>
      <c r="E54" s="6" t="s">
        <v>125</v>
      </c>
      <c r="F54" s="14" t="s">
        <v>98</v>
      </c>
      <c r="G54" s="6" t="s">
        <v>126</v>
      </c>
      <c r="H54" s="1"/>
      <c r="I54" s="1"/>
    </row>
    <row r="55" spans="1:9" ht="24" x14ac:dyDescent="0.35">
      <c r="A55" s="5"/>
      <c r="B55" s="5"/>
      <c r="C55" s="5"/>
      <c r="D55" s="6" t="s">
        <v>127</v>
      </c>
      <c r="E55" s="6" t="s">
        <v>128</v>
      </c>
      <c r="F55" s="14"/>
      <c r="G55" s="6" t="s">
        <v>129</v>
      </c>
      <c r="H55" s="1"/>
      <c r="I55" s="1"/>
    </row>
    <row r="56" spans="1:9" ht="132" x14ac:dyDescent="0.35">
      <c r="A56" s="5"/>
      <c r="B56" s="5"/>
      <c r="C56" s="5"/>
      <c r="D56" s="6" t="s">
        <v>130</v>
      </c>
      <c r="E56" s="6" t="s">
        <v>131</v>
      </c>
      <c r="F56" s="14" t="s">
        <v>98</v>
      </c>
      <c r="G56" s="6" t="s">
        <v>132</v>
      </c>
      <c r="H56" s="1"/>
      <c r="I56" s="1"/>
    </row>
    <row r="57" spans="1:9" x14ac:dyDescent="0.35">
      <c r="A57" s="5"/>
      <c r="B57" s="5"/>
      <c r="C57" s="5"/>
      <c r="D57" s="6" t="s">
        <v>133</v>
      </c>
      <c r="E57" s="6"/>
      <c r="F57" s="14"/>
      <c r="G57" s="6" t="s">
        <v>134</v>
      </c>
      <c r="H57" s="1"/>
      <c r="I57" s="1"/>
    </row>
    <row r="58" spans="1:9" ht="24" x14ac:dyDescent="0.35">
      <c r="A58" s="5"/>
      <c r="B58" s="5"/>
      <c r="C58" s="5"/>
      <c r="D58" s="6" t="s">
        <v>135</v>
      </c>
      <c r="E58" s="6" t="s">
        <v>136</v>
      </c>
      <c r="F58" s="14" t="s">
        <v>98</v>
      </c>
      <c r="G58" s="6" t="s">
        <v>137</v>
      </c>
      <c r="H58" s="1"/>
      <c r="I58" s="1"/>
    </row>
    <row r="59" spans="1:9" ht="48" x14ac:dyDescent="0.35">
      <c r="A59" s="5"/>
      <c r="B59" s="5"/>
      <c r="C59" s="5"/>
      <c r="D59" s="6" t="s">
        <v>138</v>
      </c>
      <c r="E59" s="6" t="s">
        <v>139</v>
      </c>
      <c r="F59" s="14"/>
      <c r="G59" s="6" t="s">
        <v>140</v>
      </c>
      <c r="H59" s="1"/>
      <c r="I59" s="1"/>
    </row>
    <row r="60" spans="1:9" ht="24" x14ac:dyDescent="0.35">
      <c r="A60" s="5"/>
      <c r="B60" s="5"/>
      <c r="C60" s="5"/>
      <c r="D60" s="6" t="s">
        <v>141</v>
      </c>
      <c r="E60" s="6" t="s">
        <v>142</v>
      </c>
      <c r="F60" s="14"/>
      <c r="G60" s="6" t="s">
        <v>143</v>
      </c>
      <c r="H60" s="1"/>
      <c r="I60" s="1"/>
    </row>
    <row r="61" spans="1:9" x14ac:dyDescent="0.35">
      <c r="A61" s="5"/>
      <c r="B61" s="5"/>
      <c r="C61" s="5"/>
      <c r="D61" s="6" t="s">
        <v>144</v>
      </c>
      <c r="E61" s="6" t="s">
        <v>142</v>
      </c>
      <c r="F61" s="14"/>
      <c r="G61" s="6" t="s">
        <v>145</v>
      </c>
      <c r="H61" s="1"/>
      <c r="I61" s="1"/>
    </row>
    <row r="62" spans="1:9" ht="96" x14ac:dyDescent="0.35">
      <c r="A62" s="5"/>
      <c r="B62" s="5"/>
      <c r="C62" s="5"/>
      <c r="D62" s="6" t="s">
        <v>146</v>
      </c>
      <c r="E62" s="6" t="s">
        <v>147</v>
      </c>
      <c r="F62" s="14"/>
      <c r="G62" s="6" t="s">
        <v>148</v>
      </c>
      <c r="H62" s="1"/>
      <c r="I62" s="1"/>
    </row>
    <row r="63" spans="1:9" ht="60" x14ac:dyDescent="0.35">
      <c r="A63" s="5"/>
      <c r="B63" s="5"/>
      <c r="C63" s="5"/>
      <c r="D63" s="6" t="s">
        <v>149</v>
      </c>
      <c r="E63" s="6" t="s">
        <v>150</v>
      </c>
      <c r="F63" s="14" t="s">
        <v>98</v>
      </c>
      <c r="G63" s="6" t="s">
        <v>151</v>
      </c>
      <c r="H63" s="1"/>
      <c r="I63"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43BFB-A36A-431C-A60A-8C08FB87812F}">
  <dimension ref="A1:CT34"/>
  <sheetViews>
    <sheetView topLeftCell="B1" workbookViewId="0">
      <pane xSplit="1" ySplit="2" topLeftCell="BV3" activePane="bottomRight" state="frozen"/>
      <selection pane="topRight" activeCell="C1" sqref="C1"/>
      <selection pane="bottomLeft" activeCell="B3" sqref="B3"/>
      <selection pane="bottomRight" activeCell="BW2" sqref="BW2"/>
    </sheetView>
  </sheetViews>
  <sheetFormatPr defaultColWidth="25.81640625" defaultRowHeight="14.5" x14ac:dyDescent="0.35"/>
  <cols>
    <col min="1" max="1" width="11.26953125" bestFit="1" customWidth="1"/>
    <col min="2" max="2" width="51.81640625" bestFit="1" customWidth="1"/>
    <col min="3" max="3" width="9" bestFit="1" customWidth="1"/>
    <col min="4" max="4" width="20.54296875" customWidth="1"/>
    <col min="5" max="5" width="52" bestFit="1" customWidth="1"/>
    <col min="6" max="6" width="21.81640625" customWidth="1"/>
    <col min="7" max="7" width="14.453125" customWidth="1"/>
    <col min="8" max="8" width="13.7265625" customWidth="1"/>
    <col min="9" max="9" width="40.453125" customWidth="1"/>
    <col min="10" max="10" width="10" bestFit="1" customWidth="1"/>
    <col min="11" max="11" width="40.7265625" bestFit="1" customWidth="1"/>
    <col min="12" max="12" width="40.7265625" customWidth="1"/>
    <col min="13" max="13" width="40.453125" bestFit="1" customWidth="1"/>
    <col min="14" max="14" width="24.1796875" bestFit="1" customWidth="1"/>
    <col min="15" max="15" width="6" bestFit="1" customWidth="1"/>
    <col min="16" max="16" width="20.26953125" bestFit="1" customWidth="1"/>
    <col min="17" max="17" width="8.453125" bestFit="1" customWidth="1"/>
    <col min="18" max="18" width="13.54296875" bestFit="1" customWidth="1"/>
    <col min="19" max="19" width="14.453125" bestFit="1" customWidth="1"/>
    <col min="20" max="20" width="30.453125" bestFit="1" customWidth="1"/>
    <col min="21" max="21" width="7.1796875" bestFit="1" customWidth="1"/>
    <col min="22" max="22" width="19.1796875" bestFit="1" customWidth="1"/>
    <col min="23" max="23" width="12.1796875" bestFit="1" customWidth="1"/>
    <col min="24" max="24" width="22.7265625" bestFit="1" customWidth="1"/>
    <col min="25" max="25" width="5.1796875" bestFit="1" customWidth="1"/>
    <col min="26" max="27" width="8.7265625" bestFit="1" customWidth="1"/>
    <col min="28" max="28" width="11.453125" bestFit="1" customWidth="1"/>
    <col min="29" max="29" width="16.7265625" customWidth="1"/>
    <col min="30" max="30" width="17.81640625" customWidth="1"/>
    <col min="31" max="31" width="14.7265625" bestFit="1" customWidth="1"/>
    <col min="32" max="32" width="32" customWidth="1"/>
    <col min="33" max="33" width="12.26953125" customWidth="1"/>
    <col min="34" max="34" width="24.54296875" customWidth="1"/>
    <col min="35" max="35" width="16.453125" customWidth="1"/>
    <col min="36" max="36" width="10.1796875" bestFit="1" customWidth="1"/>
    <col min="37" max="37" width="14.81640625" customWidth="1"/>
    <col min="38" max="38" width="14.7265625" customWidth="1"/>
    <col min="39" max="39" width="27.7265625" bestFit="1" customWidth="1"/>
    <col min="40" max="40" width="24" bestFit="1" customWidth="1"/>
    <col min="41" max="41" width="24" customWidth="1"/>
    <col min="42" max="42" width="17.1796875" customWidth="1"/>
    <col min="43" max="43" width="24" customWidth="1"/>
    <col min="44" max="46" width="14.1796875" customWidth="1"/>
    <col min="75" max="75" width="56.1796875" bestFit="1" customWidth="1"/>
  </cols>
  <sheetData>
    <row r="1" spans="1:98" s="17" customFormat="1" ht="71.25" customHeight="1" x14ac:dyDescent="0.35">
      <c r="A1" s="145" t="s">
        <v>152</v>
      </c>
      <c r="B1" s="145" t="s">
        <v>153</v>
      </c>
      <c r="C1" s="145" t="s">
        <v>154</v>
      </c>
      <c r="D1" s="145" t="s">
        <v>155</v>
      </c>
      <c r="E1" s="102" t="s">
        <v>156</v>
      </c>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46" t="s">
        <v>103</v>
      </c>
      <c r="AT1" s="146"/>
      <c r="AU1" s="146"/>
      <c r="AV1" s="146"/>
      <c r="AW1" s="146"/>
      <c r="AX1" s="146"/>
      <c r="AY1" s="146"/>
      <c r="AZ1" s="146"/>
      <c r="BA1" s="146"/>
      <c r="BB1" s="146"/>
      <c r="BC1" s="146"/>
      <c r="BD1" s="146"/>
      <c r="BE1" s="146"/>
      <c r="BF1" s="146"/>
      <c r="BG1" s="146"/>
      <c r="BH1" s="146"/>
      <c r="BI1" s="146"/>
      <c r="BJ1" s="146"/>
      <c r="BK1" s="146"/>
      <c r="BL1" s="146"/>
      <c r="BM1" s="146"/>
      <c r="BN1" s="146"/>
      <c r="BO1" s="146"/>
      <c r="BP1" s="146"/>
      <c r="BQ1" s="146"/>
      <c r="BR1" s="146"/>
      <c r="BS1" s="146"/>
      <c r="BT1" s="146"/>
      <c r="BU1" s="146"/>
      <c r="BV1" s="146"/>
      <c r="BW1" s="144" t="s">
        <v>157</v>
      </c>
      <c r="BX1" s="144"/>
      <c r="BY1" s="144"/>
      <c r="BZ1" s="144"/>
      <c r="CA1" s="144"/>
      <c r="CB1" s="144"/>
      <c r="CC1" s="144"/>
      <c r="CD1" s="144"/>
      <c r="CE1" s="144"/>
      <c r="CF1" s="144"/>
      <c r="CG1" s="144"/>
      <c r="CH1" s="144"/>
      <c r="CI1" s="144"/>
      <c r="CJ1" s="144"/>
      <c r="CK1" s="144"/>
      <c r="CL1" s="144"/>
      <c r="CM1" s="144"/>
      <c r="CN1" s="144"/>
      <c r="CO1" s="144"/>
      <c r="CP1" s="144"/>
      <c r="CQ1" s="144"/>
      <c r="CR1" s="144"/>
      <c r="CS1" s="144"/>
      <c r="CT1" s="144"/>
    </row>
    <row r="2" spans="1:98" s="17" customFormat="1" x14ac:dyDescent="0.35">
      <c r="A2" s="145"/>
      <c r="B2" s="145"/>
      <c r="C2" s="145"/>
      <c r="D2" s="145"/>
      <c r="E2" s="36" t="s">
        <v>158</v>
      </c>
      <c r="F2" s="36" t="s">
        <v>159</v>
      </c>
      <c r="G2" s="36" t="s">
        <v>160</v>
      </c>
      <c r="H2" s="36" t="s">
        <v>161</v>
      </c>
      <c r="I2" s="36" t="s">
        <v>162</v>
      </c>
      <c r="J2" s="36" t="s">
        <v>163</v>
      </c>
      <c r="K2" s="36" t="s">
        <v>164</v>
      </c>
      <c r="L2" s="36" t="s">
        <v>165</v>
      </c>
      <c r="M2" s="36" t="s">
        <v>166</v>
      </c>
      <c r="N2" s="36" t="s">
        <v>167</v>
      </c>
      <c r="O2" s="36" t="s">
        <v>168</v>
      </c>
      <c r="P2" s="36" t="s">
        <v>169</v>
      </c>
      <c r="Q2" s="36" t="s">
        <v>170</v>
      </c>
      <c r="R2" s="36" t="s">
        <v>171</v>
      </c>
      <c r="S2" s="36" t="s">
        <v>172</v>
      </c>
      <c r="T2" s="36" t="s">
        <v>173</v>
      </c>
      <c r="U2" s="36" t="s">
        <v>174</v>
      </c>
      <c r="V2" s="36" t="s">
        <v>175</v>
      </c>
      <c r="W2" s="36" t="s">
        <v>176</v>
      </c>
      <c r="X2" s="36" t="s">
        <v>177</v>
      </c>
      <c r="Y2" s="36" t="s">
        <v>178</v>
      </c>
      <c r="Z2" s="36" t="s">
        <v>179</v>
      </c>
      <c r="AA2" s="36" t="s">
        <v>180</v>
      </c>
      <c r="AB2" s="36" t="s">
        <v>181</v>
      </c>
      <c r="AC2" s="36" t="s">
        <v>182</v>
      </c>
      <c r="AD2" s="36" t="s">
        <v>183</v>
      </c>
      <c r="AE2" s="36" t="s">
        <v>184</v>
      </c>
      <c r="AF2" s="36" t="s">
        <v>185</v>
      </c>
      <c r="AG2" s="36" t="s">
        <v>186</v>
      </c>
      <c r="AH2" s="36" t="s">
        <v>187</v>
      </c>
      <c r="AI2" s="36" t="s">
        <v>188</v>
      </c>
      <c r="AJ2" s="36" t="s">
        <v>189</v>
      </c>
      <c r="AK2" s="36" t="s">
        <v>190</v>
      </c>
      <c r="AL2" s="36" t="s">
        <v>191</v>
      </c>
      <c r="AM2" s="36" t="s">
        <v>192</v>
      </c>
      <c r="AN2" s="36" t="s">
        <v>193</v>
      </c>
      <c r="AO2" s="36" t="s">
        <v>194</v>
      </c>
      <c r="AP2" s="36" t="s">
        <v>195</v>
      </c>
      <c r="AQ2" s="36" t="s">
        <v>196</v>
      </c>
      <c r="AR2" s="36" t="s">
        <v>197</v>
      </c>
      <c r="AS2" s="34" t="s">
        <v>198</v>
      </c>
      <c r="AT2" s="34" t="s">
        <v>163</v>
      </c>
      <c r="AU2" s="34" t="s">
        <v>199</v>
      </c>
      <c r="AV2" s="34" t="s">
        <v>200</v>
      </c>
      <c r="AW2" s="34" t="s">
        <v>201</v>
      </c>
      <c r="AX2" s="34" t="s">
        <v>202</v>
      </c>
      <c r="AY2" s="34" t="s">
        <v>180</v>
      </c>
      <c r="AZ2" s="34" t="s">
        <v>203</v>
      </c>
      <c r="BA2" s="34" t="s">
        <v>204</v>
      </c>
      <c r="BB2" s="34" t="s">
        <v>205</v>
      </c>
      <c r="BC2" s="34" t="s">
        <v>206</v>
      </c>
      <c r="BD2" s="34" t="s">
        <v>207</v>
      </c>
      <c r="BE2" s="34" t="s">
        <v>208</v>
      </c>
      <c r="BF2" s="34" t="s">
        <v>209</v>
      </c>
      <c r="BG2" s="34" t="s">
        <v>210</v>
      </c>
      <c r="BH2" s="34" t="s">
        <v>211</v>
      </c>
      <c r="BI2" s="34" t="s">
        <v>212</v>
      </c>
      <c r="BJ2" s="34" t="s">
        <v>213</v>
      </c>
      <c r="BK2" s="34" t="s">
        <v>214</v>
      </c>
      <c r="BL2" s="34" t="s">
        <v>174</v>
      </c>
      <c r="BM2" s="34" t="s">
        <v>215</v>
      </c>
      <c r="BN2" s="34" t="s">
        <v>182</v>
      </c>
      <c r="BO2" s="34" t="s">
        <v>183</v>
      </c>
      <c r="BP2" s="34" t="s">
        <v>216</v>
      </c>
      <c r="BQ2" s="34" t="s">
        <v>217</v>
      </c>
      <c r="BR2" s="34" t="s">
        <v>218</v>
      </c>
      <c r="BS2" s="34" t="s">
        <v>219</v>
      </c>
      <c r="BT2" s="34" t="s">
        <v>201</v>
      </c>
      <c r="BU2" s="34" t="s">
        <v>220</v>
      </c>
      <c r="BV2" s="34" t="s">
        <v>221</v>
      </c>
      <c r="BW2" s="35" t="s">
        <v>222</v>
      </c>
      <c r="BX2" s="35" t="s">
        <v>223</v>
      </c>
      <c r="BY2" s="35" t="s">
        <v>224</v>
      </c>
      <c r="BZ2" s="35" t="s">
        <v>154</v>
      </c>
      <c r="CA2" s="35" t="s">
        <v>180</v>
      </c>
      <c r="CB2" s="35" t="s">
        <v>225</v>
      </c>
      <c r="CC2" s="35" t="s">
        <v>226</v>
      </c>
      <c r="CD2" s="37" t="s">
        <v>227</v>
      </c>
      <c r="CE2" s="35" t="s">
        <v>219</v>
      </c>
      <c r="CF2" s="35" t="s">
        <v>228</v>
      </c>
      <c r="CG2" s="35" t="s">
        <v>229</v>
      </c>
      <c r="CH2" s="35" t="s">
        <v>230</v>
      </c>
      <c r="CI2" s="35" t="s">
        <v>231</v>
      </c>
      <c r="CJ2" s="35" t="s">
        <v>232</v>
      </c>
      <c r="CK2" s="35" t="s">
        <v>233</v>
      </c>
      <c r="CL2" s="35" t="s">
        <v>234</v>
      </c>
      <c r="CM2" s="35" t="s">
        <v>235</v>
      </c>
      <c r="CN2" s="35" t="s">
        <v>236</v>
      </c>
      <c r="CO2" s="35" t="s">
        <v>214</v>
      </c>
      <c r="CP2" s="35" t="s">
        <v>237</v>
      </c>
      <c r="CQ2" s="35" t="s">
        <v>238</v>
      </c>
      <c r="CR2" s="35" t="s">
        <v>239</v>
      </c>
      <c r="CS2" s="35" t="s">
        <v>240</v>
      </c>
      <c r="CT2" s="35" t="s">
        <v>241</v>
      </c>
    </row>
    <row r="3" spans="1:98" x14ac:dyDescent="0.35">
      <c r="A3" s="38" t="s">
        <v>242</v>
      </c>
      <c r="B3" s="39" t="s">
        <v>243</v>
      </c>
      <c r="C3" s="39" t="s">
        <v>244</v>
      </c>
      <c r="D3" s="54" t="s">
        <v>245</v>
      </c>
      <c r="E3" s="40" t="s">
        <v>246</v>
      </c>
      <c r="F3" s="40" t="s">
        <v>16</v>
      </c>
      <c r="G3" s="41">
        <v>2750000</v>
      </c>
      <c r="H3" s="40">
        <v>1</v>
      </c>
      <c r="I3" s="40" t="s">
        <v>247</v>
      </c>
      <c r="J3" s="40" t="s">
        <v>28</v>
      </c>
      <c r="K3" s="40" t="s">
        <v>248</v>
      </c>
      <c r="L3" s="40" t="s">
        <v>249</v>
      </c>
      <c r="M3" s="40" t="s">
        <v>250</v>
      </c>
      <c r="N3" s="42">
        <v>30</v>
      </c>
      <c r="O3" s="40">
        <v>24</v>
      </c>
      <c r="P3" s="40" t="s">
        <v>41</v>
      </c>
      <c r="Q3" s="40" t="s">
        <v>251</v>
      </c>
      <c r="R3" s="43">
        <v>0</v>
      </c>
      <c r="S3" s="44" t="s">
        <v>252</v>
      </c>
      <c r="T3" s="45" t="s">
        <v>253</v>
      </c>
      <c r="U3" s="45">
        <v>4.78</v>
      </c>
      <c r="V3" s="46">
        <v>0</v>
      </c>
      <c r="W3" s="45" t="s">
        <v>253</v>
      </c>
      <c r="X3" s="46">
        <v>13</v>
      </c>
      <c r="Y3" s="45"/>
      <c r="Z3" s="45"/>
      <c r="AA3" s="45" t="s">
        <v>254</v>
      </c>
      <c r="AB3" s="46">
        <v>3.1</v>
      </c>
      <c r="AC3" s="47">
        <v>45959</v>
      </c>
      <c r="AD3" s="47">
        <v>45959</v>
      </c>
      <c r="AE3" s="47" t="s">
        <v>255</v>
      </c>
      <c r="AF3" s="47"/>
      <c r="AG3" s="47"/>
      <c r="AH3" s="47"/>
      <c r="AI3" s="48">
        <v>18160.38</v>
      </c>
      <c r="AJ3" s="48">
        <v>103661.25</v>
      </c>
      <c r="AK3" s="45"/>
      <c r="AL3" s="45"/>
      <c r="AM3" s="45">
        <v>24</v>
      </c>
      <c r="AN3" s="45"/>
      <c r="AO3" s="45"/>
      <c r="AP3" s="45"/>
      <c r="AQ3" s="45"/>
      <c r="AR3" s="45"/>
      <c r="AS3" s="45" t="s">
        <v>256</v>
      </c>
      <c r="AT3" s="45" t="str">
        <f>J3</f>
        <v>Direct lease</v>
      </c>
      <c r="AU3" s="45" t="str">
        <f t="shared" ref="AU3:AU34" si="0">E3</f>
        <v>TruLaser Weld 5000 Basic Edition  - TRUMPF - Metal Machine Tools</v>
      </c>
      <c r="AV3" s="45"/>
      <c r="AW3" s="45" t="str">
        <f t="shared" ref="AW3:AW34" si="1">I3</f>
        <v>TRUMPF (CHINA) CO., LTD.</v>
      </c>
      <c r="AX3" s="45">
        <f t="shared" ref="AX3:AX34" si="2">H3</f>
        <v>1</v>
      </c>
      <c r="AY3" s="45" t="str">
        <f t="shared" ref="AY3:AY34" si="3">AA3</f>
        <v>CNY</v>
      </c>
      <c r="AZ3" s="48">
        <f t="shared" ref="AZ3:AZ34" si="4">G3</f>
        <v>2750000</v>
      </c>
      <c r="BA3" s="45"/>
      <c r="BB3" s="46">
        <f t="shared" ref="BB3:BB34" si="5">N3</f>
        <v>30</v>
      </c>
      <c r="BC3" s="45"/>
      <c r="BD3" s="46">
        <f t="shared" ref="BD3:BD34" si="6">R3</f>
        <v>0</v>
      </c>
      <c r="BE3" s="45">
        <f t="shared" ref="BE3:BE34" si="7">O3</f>
        <v>24</v>
      </c>
      <c r="BF3" s="45" t="str">
        <f t="shared" ref="BF3:BF34" si="8">P3</f>
        <v>Monthly</v>
      </c>
      <c r="BG3" s="45" t="str">
        <f t="shared" ref="BG3:BG34" si="9">S3</f>
        <v>Advance</v>
      </c>
      <c r="BH3" s="45"/>
      <c r="BI3" s="45"/>
      <c r="BJ3" s="45" t="str">
        <f t="shared" ref="BJ3:BJ34" si="10">Q3</f>
        <v>Fixed</v>
      </c>
      <c r="BK3" s="46">
        <f t="shared" ref="BK3:BK34" si="11">AB3</f>
        <v>3.1</v>
      </c>
      <c r="BL3" s="45">
        <f t="shared" ref="BL3:BL34" si="12">U3</f>
        <v>4.78</v>
      </c>
      <c r="BM3" s="46">
        <f t="shared" ref="BM3:BM34" si="13">V3</f>
        <v>0</v>
      </c>
      <c r="BN3" s="47">
        <f t="shared" ref="BN3:BN34" si="14">AC3</f>
        <v>45959</v>
      </c>
      <c r="BO3" s="47">
        <f t="shared" ref="BO3:BO34" si="15">AD3</f>
        <v>45959</v>
      </c>
      <c r="BP3" s="45"/>
      <c r="BQ3" s="45" t="str">
        <f t="shared" ref="BQ3:BQ34" si="16">K3</f>
        <v>NAILI CO.,LTD.</v>
      </c>
      <c r="BR3" s="45" t="str">
        <f t="shared" ref="BR3:BR34" si="17">K3</f>
        <v>NAILI CO.,LTD.</v>
      </c>
      <c r="BS3" s="45" t="str">
        <f t="shared" ref="BS3:BS34" si="18">M3</f>
        <v xml:space="preserve">TRUMPF (CHINA) CO., LTD. </v>
      </c>
      <c r="BT3" s="45" t="str">
        <f t="shared" ref="BT3:BT34" si="19">AW3</f>
        <v>TRUMPF (CHINA) CO., LTD.</v>
      </c>
      <c r="BU3" s="45"/>
      <c r="BV3" s="45" t="s">
        <v>257</v>
      </c>
      <c r="BW3" s="45" t="str">
        <f t="shared" ref="BW3:BW34" si="20">BR3</f>
        <v>NAILI CO.,LTD.</v>
      </c>
      <c r="BX3" s="45" t="s">
        <v>258</v>
      </c>
      <c r="BY3" s="45" t="str">
        <f t="shared" ref="BY3:BY34" si="21">BV3</f>
        <v>IN01</v>
      </c>
      <c r="BZ3" s="45" t="s">
        <v>244</v>
      </c>
      <c r="CA3" s="45" t="s">
        <v>254</v>
      </c>
      <c r="CB3" s="45" t="str">
        <f t="shared" ref="CB3:CB34" si="22">AS3</f>
        <v>Finance Lease</v>
      </c>
      <c r="CC3" s="45" t="str">
        <f t="shared" ref="CC3:CC34" si="23">AT3</f>
        <v>Direct lease</v>
      </c>
      <c r="CD3" s="45" t="s">
        <v>259</v>
      </c>
      <c r="CE3" s="45" t="str">
        <f t="shared" ref="CE3:CE34" si="24">BS3</f>
        <v xml:space="preserve">TRUMPF (CHINA) CO., LTD. </v>
      </c>
      <c r="CF3" s="45"/>
      <c r="CG3" s="45"/>
      <c r="CH3" s="45"/>
      <c r="CI3" s="45"/>
      <c r="CJ3" s="46">
        <f t="shared" ref="CJ3:CJ34" si="25">BB3</f>
        <v>30</v>
      </c>
      <c r="CK3" s="45" t="str">
        <f t="shared" ref="CK3:CK34" si="26">BG3</f>
        <v>Advance</v>
      </c>
      <c r="CL3" s="45">
        <f t="shared" ref="CL3:CL34" si="27">BE3</f>
        <v>24</v>
      </c>
      <c r="CM3" s="45" t="str">
        <f t="shared" ref="CM3:CM34" si="28">BF3</f>
        <v>Monthly</v>
      </c>
      <c r="CN3" s="45"/>
      <c r="CO3" s="46">
        <f t="shared" ref="CO3:CO34" si="29">BK3</f>
        <v>3.1</v>
      </c>
      <c r="CP3" s="46">
        <f t="shared" ref="CP3:CP34" si="30">BM3</f>
        <v>0</v>
      </c>
      <c r="CQ3" s="45"/>
      <c r="CR3" s="45" t="s">
        <v>260</v>
      </c>
      <c r="CS3" s="45" t="s">
        <v>261</v>
      </c>
      <c r="CT3" s="46">
        <f t="shared" ref="CT3:CT34" si="31">X3</f>
        <v>13</v>
      </c>
    </row>
    <row r="4" spans="1:98" x14ac:dyDescent="0.35">
      <c r="A4" s="38" t="s">
        <v>262</v>
      </c>
      <c r="B4" s="39" t="s">
        <v>263</v>
      </c>
      <c r="C4" s="39" t="s">
        <v>244</v>
      </c>
      <c r="D4" s="39" t="s">
        <v>264</v>
      </c>
      <c r="E4" s="40" t="s">
        <v>246</v>
      </c>
      <c r="F4" s="40" t="s">
        <v>16</v>
      </c>
      <c r="G4" s="41">
        <v>2750000</v>
      </c>
      <c r="H4" s="40">
        <v>1</v>
      </c>
      <c r="I4" s="40" t="s">
        <v>247</v>
      </c>
      <c r="J4" s="40" t="s">
        <v>265</v>
      </c>
      <c r="K4" s="40" t="s">
        <v>248</v>
      </c>
      <c r="L4" s="40" t="s">
        <v>249</v>
      </c>
      <c r="M4" s="40" t="s">
        <v>250</v>
      </c>
      <c r="N4" s="42">
        <v>30</v>
      </c>
      <c r="O4" s="40">
        <v>24</v>
      </c>
      <c r="P4" s="40" t="s">
        <v>41</v>
      </c>
      <c r="Q4" s="40" t="s">
        <v>251</v>
      </c>
      <c r="R4" s="43">
        <v>0</v>
      </c>
      <c r="S4" s="44" t="s">
        <v>252</v>
      </c>
      <c r="T4" s="45" t="s">
        <v>253</v>
      </c>
      <c r="U4" s="45">
        <v>3.83</v>
      </c>
      <c r="V4" s="46">
        <v>0</v>
      </c>
      <c r="W4" s="45" t="s">
        <v>253</v>
      </c>
      <c r="X4" s="46">
        <v>6</v>
      </c>
      <c r="Y4" s="45"/>
      <c r="Z4" s="45"/>
      <c r="AA4" s="45" t="s">
        <v>254</v>
      </c>
      <c r="AB4" s="46">
        <v>3.1</v>
      </c>
      <c r="AC4" s="47">
        <v>45960</v>
      </c>
      <c r="AD4" s="47">
        <v>45960</v>
      </c>
      <c r="AE4" s="45" t="s">
        <v>255</v>
      </c>
      <c r="AF4" s="45"/>
      <c r="AG4" s="45"/>
      <c r="AH4" s="45"/>
      <c r="AI4" s="48">
        <v>18160.38</v>
      </c>
      <c r="AJ4" s="48">
        <v>103661.25</v>
      </c>
      <c r="AK4" s="45"/>
      <c r="AL4" s="45"/>
      <c r="AM4" s="45">
        <v>24</v>
      </c>
      <c r="AN4" s="45"/>
      <c r="AO4" s="45"/>
      <c r="AP4" s="45"/>
      <c r="AQ4" s="45"/>
      <c r="AR4" s="45"/>
      <c r="AS4" s="45" t="s">
        <v>256</v>
      </c>
      <c r="AT4" s="45" t="s">
        <v>266</v>
      </c>
      <c r="AU4" s="45" t="str">
        <f t="shared" si="0"/>
        <v>TruLaser Weld 5000 Basic Edition  - TRUMPF - Metal Machine Tools</v>
      </c>
      <c r="AV4" s="45"/>
      <c r="AW4" s="45" t="str">
        <f t="shared" si="1"/>
        <v>TRUMPF (CHINA) CO., LTD.</v>
      </c>
      <c r="AX4" s="45">
        <f t="shared" si="2"/>
        <v>1</v>
      </c>
      <c r="AY4" s="45" t="str">
        <f t="shared" si="3"/>
        <v>CNY</v>
      </c>
      <c r="AZ4" s="48">
        <f t="shared" si="4"/>
        <v>2750000</v>
      </c>
      <c r="BA4" s="45"/>
      <c r="BB4" s="46">
        <f t="shared" si="5"/>
        <v>30</v>
      </c>
      <c r="BC4" s="45"/>
      <c r="BD4" s="46">
        <f t="shared" si="6"/>
        <v>0</v>
      </c>
      <c r="BE4" s="45">
        <f t="shared" si="7"/>
        <v>24</v>
      </c>
      <c r="BF4" s="45" t="str">
        <f t="shared" si="8"/>
        <v>Monthly</v>
      </c>
      <c r="BG4" s="45" t="str">
        <f t="shared" si="9"/>
        <v>Advance</v>
      </c>
      <c r="BH4" s="45"/>
      <c r="BI4" s="45"/>
      <c r="BJ4" s="45" t="str">
        <f t="shared" si="10"/>
        <v>Fixed</v>
      </c>
      <c r="BK4" s="46">
        <f t="shared" si="11"/>
        <v>3.1</v>
      </c>
      <c r="BL4" s="45">
        <f t="shared" si="12"/>
        <v>3.83</v>
      </c>
      <c r="BM4" s="46">
        <f t="shared" si="13"/>
        <v>0</v>
      </c>
      <c r="BN4" s="47">
        <f t="shared" si="14"/>
        <v>45960</v>
      </c>
      <c r="BO4" s="47">
        <f t="shared" si="15"/>
        <v>45960</v>
      </c>
      <c r="BP4" s="45"/>
      <c r="BQ4" s="45" t="str">
        <f t="shared" si="16"/>
        <v>NAILI CO.,LTD.</v>
      </c>
      <c r="BR4" s="45" t="str">
        <f t="shared" si="17"/>
        <v>NAILI CO.,LTD.</v>
      </c>
      <c r="BS4" s="45" t="str">
        <f t="shared" si="18"/>
        <v xml:space="preserve">TRUMPF (CHINA) CO., LTD. </v>
      </c>
      <c r="BT4" s="45" t="str">
        <f t="shared" si="19"/>
        <v>TRUMPF (CHINA) CO., LTD.</v>
      </c>
      <c r="BU4" s="45"/>
      <c r="BV4" s="45" t="s">
        <v>257</v>
      </c>
      <c r="BW4" s="45" t="str">
        <f t="shared" si="20"/>
        <v>NAILI CO.,LTD.</v>
      </c>
      <c r="BX4" s="45" t="s">
        <v>258</v>
      </c>
      <c r="BY4" s="45" t="str">
        <f t="shared" si="21"/>
        <v>IN01</v>
      </c>
      <c r="BZ4" s="45" t="s">
        <v>244</v>
      </c>
      <c r="CA4" s="45" t="s">
        <v>254</v>
      </c>
      <c r="CB4" s="45" t="str">
        <f t="shared" si="22"/>
        <v>Finance Lease</v>
      </c>
      <c r="CC4" s="45" t="str">
        <f t="shared" si="23"/>
        <v>Sale and Leaseback</v>
      </c>
      <c r="CD4" s="45" t="s">
        <v>259</v>
      </c>
      <c r="CE4" s="45" t="str">
        <f t="shared" si="24"/>
        <v xml:space="preserve">TRUMPF (CHINA) CO., LTD. </v>
      </c>
      <c r="CF4" s="45"/>
      <c r="CG4" s="45"/>
      <c r="CH4" s="45"/>
      <c r="CI4" s="45"/>
      <c r="CJ4" s="46">
        <f t="shared" si="25"/>
        <v>30</v>
      </c>
      <c r="CK4" s="45" t="str">
        <f t="shared" si="26"/>
        <v>Advance</v>
      </c>
      <c r="CL4" s="45">
        <f t="shared" si="27"/>
        <v>24</v>
      </c>
      <c r="CM4" s="45" t="str">
        <f t="shared" si="28"/>
        <v>Monthly</v>
      </c>
      <c r="CN4" s="45"/>
      <c r="CO4" s="46">
        <f t="shared" si="29"/>
        <v>3.1</v>
      </c>
      <c r="CP4" s="46">
        <f t="shared" si="30"/>
        <v>0</v>
      </c>
      <c r="CQ4" s="45"/>
      <c r="CR4" s="45" t="s">
        <v>260</v>
      </c>
      <c r="CS4" s="45" t="s">
        <v>261</v>
      </c>
      <c r="CT4" s="46">
        <f t="shared" si="31"/>
        <v>6</v>
      </c>
    </row>
    <row r="5" spans="1:98" x14ac:dyDescent="0.35">
      <c r="A5" s="38" t="s">
        <v>262</v>
      </c>
      <c r="B5" s="39" t="s">
        <v>263</v>
      </c>
      <c r="C5" s="39" t="s">
        <v>244</v>
      </c>
      <c r="D5" s="39" t="s">
        <v>267</v>
      </c>
      <c r="E5" s="40" t="s">
        <v>268</v>
      </c>
      <c r="F5" s="40" t="s">
        <v>16</v>
      </c>
      <c r="G5" s="41">
        <v>8860000</v>
      </c>
      <c r="H5" s="40">
        <v>1</v>
      </c>
      <c r="I5" s="40"/>
      <c r="J5" s="40" t="s">
        <v>265</v>
      </c>
      <c r="K5" s="40" t="s">
        <v>269</v>
      </c>
      <c r="L5" s="40" t="s">
        <v>249</v>
      </c>
      <c r="M5" s="40" t="s">
        <v>270</v>
      </c>
      <c r="N5" s="40">
        <v>11.51</v>
      </c>
      <c r="O5" s="40">
        <v>48</v>
      </c>
      <c r="P5" s="40" t="s">
        <v>41</v>
      </c>
      <c r="Q5" s="40" t="s">
        <v>271</v>
      </c>
      <c r="R5" s="43">
        <v>1</v>
      </c>
      <c r="S5" s="44" t="s">
        <v>252</v>
      </c>
      <c r="T5" s="45" t="s">
        <v>253</v>
      </c>
      <c r="U5" s="45">
        <v>0.79</v>
      </c>
      <c r="V5" s="45">
        <v>4.28</v>
      </c>
      <c r="W5" s="45" t="s">
        <v>253</v>
      </c>
      <c r="X5" s="46">
        <v>6</v>
      </c>
      <c r="Y5" s="45"/>
      <c r="Z5" s="45"/>
      <c r="AA5" s="45" t="s">
        <v>254</v>
      </c>
      <c r="AB5" s="46">
        <v>3.1</v>
      </c>
      <c r="AC5" s="47">
        <v>46049</v>
      </c>
      <c r="AD5" s="47">
        <v>46049</v>
      </c>
      <c r="AE5" s="45" t="s">
        <v>255</v>
      </c>
      <c r="AF5" s="45"/>
      <c r="AG5" s="45"/>
      <c r="AH5" s="48">
        <v>58134</v>
      </c>
      <c r="AI5" s="45"/>
      <c r="AJ5" s="45"/>
      <c r="AK5" s="45"/>
      <c r="AL5" s="45"/>
      <c r="AM5" s="45">
        <v>48</v>
      </c>
      <c r="AN5" s="45"/>
      <c r="AO5" s="45"/>
      <c r="AP5" s="45"/>
      <c r="AQ5" s="45"/>
      <c r="AR5" s="45"/>
      <c r="AS5" s="45" t="s">
        <v>256</v>
      </c>
      <c r="AT5" s="45" t="s">
        <v>266</v>
      </c>
      <c r="AU5" s="45" t="str">
        <f t="shared" si="0"/>
        <v>CX104-5  - HEIDELBERG - Printing Machines Accessories</v>
      </c>
      <c r="AV5" s="45"/>
      <c r="AW5" s="45">
        <f t="shared" si="1"/>
        <v>0</v>
      </c>
      <c r="AX5" s="45">
        <f t="shared" si="2"/>
        <v>1</v>
      </c>
      <c r="AY5" s="45" t="str">
        <f t="shared" si="3"/>
        <v>CNY</v>
      </c>
      <c r="AZ5" s="48">
        <f t="shared" si="4"/>
        <v>8860000</v>
      </c>
      <c r="BA5" s="45"/>
      <c r="BB5" s="46">
        <f t="shared" si="5"/>
        <v>11.51</v>
      </c>
      <c r="BC5" s="45"/>
      <c r="BD5" s="46">
        <f t="shared" si="6"/>
        <v>1</v>
      </c>
      <c r="BE5" s="45">
        <f t="shared" si="7"/>
        <v>48</v>
      </c>
      <c r="BF5" s="45" t="str">
        <f t="shared" si="8"/>
        <v>Monthly</v>
      </c>
      <c r="BG5" s="45" t="str">
        <f t="shared" si="9"/>
        <v>Advance</v>
      </c>
      <c r="BH5" s="45"/>
      <c r="BI5" s="45"/>
      <c r="BJ5" s="45" t="str">
        <f t="shared" si="10"/>
        <v>Floating</v>
      </c>
      <c r="BK5" s="46">
        <f t="shared" si="11"/>
        <v>3.1</v>
      </c>
      <c r="BL5" s="45">
        <f t="shared" si="12"/>
        <v>0.79</v>
      </c>
      <c r="BM5" s="46">
        <f t="shared" si="13"/>
        <v>4.28</v>
      </c>
      <c r="BN5" s="47">
        <f t="shared" si="14"/>
        <v>46049</v>
      </c>
      <c r="BO5" s="47">
        <f t="shared" si="15"/>
        <v>46049</v>
      </c>
      <c r="BP5" s="45"/>
      <c r="BQ5" s="45" t="str">
        <f t="shared" si="16"/>
        <v>YIWU LICHEN PRINTING CO.,LTD.</v>
      </c>
      <c r="BR5" s="45" t="str">
        <f t="shared" si="17"/>
        <v>YIWU LICHEN PRINTING CO.,LTD.</v>
      </c>
      <c r="BS5" s="45" t="str">
        <f t="shared" si="18"/>
        <v>HEIDELBERG GRAPHICS (BEIJING) COMPANY LIMITED</v>
      </c>
      <c r="BT5" s="45">
        <f t="shared" si="19"/>
        <v>0</v>
      </c>
      <c r="BU5" s="45"/>
      <c r="BV5" s="45" t="s">
        <v>257</v>
      </c>
      <c r="BW5" s="45" t="str">
        <f t="shared" si="20"/>
        <v>YIWU LICHEN PRINTING CO.,LTD.</v>
      </c>
      <c r="BX5" s="45" t="s">
        <v>258</v>
      </c>
      <c r="BY5" s="45" t="str">
        <f t="shared" si="21"/>
        <v>IN01</v>
      </c>
      <c r="BZ5" s="45" t="s">
        <v>244</v>
      </c>
      <c r="CA5" s="45" t="s">
        <v>254</v>
      </c>
      <c r="CB5" s="45" t="str">
        <f t="shared" si="22"/>
        <v>Finance Lease</v>
      </c>
      <c r="CC5" s="45" t="str">
        <f t="shared" si="23"/>
        <v>Sale and Leaseback</v>
      </c>
      <c r="CD5" s="45" t="s">
        <v>259</v>
      </c>
      <c r="CE5" s="45" t="str">
        <f t="shared" si="24"/>
        <v>HEIDELBERG GRAPHICS (BEIJING) COMPANY LIMITED</v>
      </c>
      <c r="CF5" s="45"/>
      <c r="CG5" s="45"/>
      <c r="CH5" s="45"/>
      <c r="CI5" s="45"/>
      <c r="CJ5" s="46">
        <f t="shared" si="25"/>
        <v>11.51</v>
      </c>
      <c r="CK5" s="45" t="str">
        <f t="shared" si="26"/>
        <v>Advance</v>
      </c>
      <c r="CL5" s="45">
        <f t="shared" si="27"/>
        <v>48</v>
      </c>
      <c r="CM5" s="45" t="str">
        <f t="shared" si="28"/>
        <v>Monthly</v>
      </c>
      <c r="CN5" s="45"/>
      <c r="CO5" s="46">
        <f t="shared" si="29"/>
        <v>3.1</v>
      </c>
      <c r="CP5" s="46">
        <f t="shared" si="30"/>
        <v>4.28</v>
      </c>
      <c r="CQ5" s="45"/>
      <c r="CR5" s="45" t="s">
        <v>260</v>
      </c>
      <c r="CS5" s="45" t="s">
        <v>261</v>
      </c>
      <c r="CT5" s="46">
        <f t="shared" si="31"/>
        <v>6</v>
      </c>
    </row>
    <row r="6" spans="1:98" x14ac:dyDescent="0.35">
      <c r="A6" s="38" t="s">
        <v>262</v>
      </c>
      <c r="B6" s="39" t="s">
        <v>263</v>
      </c>
      <c r="C6" s="39" t="s">
        <v>244</v>
      </c>
      <c r="D6" s="39" t="s">
        <v>272</v>
      </c>
      <c r="E6" s="40" t="s">
        <v>273</v>
      </c>
      <c r="F6" s="40" t="s">
        <v>16</v>
      </c>
      <c r="G6" s="41">
        <v>13949990.119999999</v>
      </c>
      <c r="H6" s="40">
        <v>1</v>
      </c>
      <c r="I6" s="40" t="s">
        <v>274</v>
      </c>
      <c r="J6" s="40" t="s">
        <v>265</v>
      </c>
      <c r="K6" s="40" t="s">
        <v>275</v>
      </c>
      <c r="L6" s="40" t="s">
        <v>249</v>
      </c>
      <c r="M6" s="40" t="s">
        <v>274</v>
      </c>
      <c r="N6" s="42">
        <v>0</v>
      </c>
      <c r="O6" s="40">
        <v>36</v>
      </c>
      <c r="P6" s="40" t="s">
        <v>41</v>
      </c>
      <c r="Q6" s="40" t="s">
        <v>271</v>
      </c>
      <c r="R6" s="43">
        <v>0</v>
      </c>
      <c r="S6" s="44" t="s">
        <v>252</v>
      </c>
      <c r="T6" s="45" t="s">
        <v>253</v>
      </c>
      <c r="U6" s="45">
        <v>3.04</v>
      </c>
      <c r="V6" s="45">
        <v>8.84</v>
      </c>
      <c r="W6" s="45" t="s">
        <v>253</v>
      </c>
      <c r="X6" s="46">
        <v>6</v>
      </c>
      <c r="Y6" s="45"/>
      <c r="Z6" s="45"/>
      <c r="AA6" s="45" t="s">
        <v>254</v>
      </c>
      <c r="AB6" s="45">
        <v>2.95</v>
      </c>
      <c r="AC6" s="47">
        <v>45973</v>
      </c>
      <c r="AD6" s="47">
        <v>45973</v>
      </c>
      <c r="AE6" s="45" t="s">
        <v>255</v>
      </c>
      <c r="AF6" s="45"/>
      <c r="AG6" s="45"/>
      <c r="AH6" s="48">
        <v>700000</v>
      </c>
      <c r="AI6" s="48">
        <v>100000</v>
      </c>
      <c r="AJ6" s="48">
        <v>20000</v>
      </c>
      <c r="AK6" s="45"/>
      <c r="AL6" s="48">
        <v>200000</v>
      </c>
      <c r="AM6" s="45">
        <v>36</v>
      </c>
      <c r="AN6" s="48">
        <v>15000</v>
      </c>
      <c r="AO6" s="48"/>
      <c r="AP6" s="48"/>
      <c r="AQ6" s="48"/>
      <c r="AR6" s="48"/>
      <c r="AS6" s="48" t="s">
        <v>256</v>
      </c>
      <c r="AT6" s="48" t="s">
        <v>266</v>
      </c>
      <c r="AU6" s="45" t="str">
        <f t="shared" si="0"/>
        <v>XL75-8+L  - HEIDELBERG - Printing Machines Accessories</v>
      </c>
      <c r="AV6" s="45"/>
      <c r="AW6" s="45" t="str">
        <f t="shared" si="1"/>
        <v>HEIDELBERG CHINA CO.,LTD.</v>
      </c>
      <c r="AX6" s="45">
        <f t="shared" si="2"/>
        <v>1</v>
      </c>
      <c r="AY6" s="45" t="str">
        <f t="shared" si="3"/>
        <v>CNY</v>
      </c>
      <c r="AZ6" s="48">
        <f t="shared" si="4"/>
        <v>13949990.119999999</v>
      </c>
      <c r="BA6" s="45"/>
      <c r="BB6" s="46">
        <f t="shared" si="5"/>
        <v>0</v>
      </c>
      <c r="BC6" s="45"/>
      <c r="BD6" s="46">
        <f t="shared" si="6"/>
        <v>0</v>
      </c>
      <c r="BE6" s="45">
        <f t="shared" si="7"/>
        <v>36</v>
      </c>
      <c r="BF6" s="45" t="str">
        <f t="shared" si="8"/>
        <v>Monthly</v>
      </c>
      <c r="BG6" s="45" t="str">
        <f t="shared" si="9"/>
        <v>Advance</v>
      </c>
      <c r="BH6" s="45"/>
      <c r="BI6" s="45"/>
      <c r="BJ6" s="45" t="str">
        <f t="shared" si="10"/>
        <v>Floating</v>
      </c>
      <c r="BK6" s="46">
        <f t="shared" si="11"/>
        <v>2.95</v>
      </c>
      <c r="BL6" s="45">
        <f t="shared" si="12"/>
        <v>3.04</v>
      </c>
      <c r="BM6" s="46">
        <f t="shared" si="13"/>
        <v>8.84</v>
      </c>
      <c r="BN6" s="47">
        <f t="shared" si="14"/>
        <v>45973</v>
      </c>
      <c r="BO6" s="47">
        <f t="shared" si="15"/>
        <v>45973</v>
      </c>
      <c r="BP6" s="45"/>
      <c r="BQ6" s="45" t="str">
        <f t="shared" si="16"/>
        <v>GUANGZHOU BEIDI PACKAGING &amp; PRINTING CO.,LTD.</v>
      </c>
      <c r="BR6" s="45" t="str">
        <f t="shared" si="17"/>
        <v>GUANGZHOU BEIDI PACKAGING &amp; PRINTING CO.,LTD.</v>
      </c>
      <c r="BS6" s="45" t="str">
        <f t="shared" si="18"/>
        <v>HEIDELBERG CHINA CO.,LTD.</v>
      </c>
      <c r="BT6" s="45" t="str">
        <f t="shared" si="19"/>
        <v>HEIDELBERG CHINA CO.,LTD.</v>
      </c>
      <c r="BU6" s="45"/>
      <c r="BV6" s="45" t="s">
        <v>257</v>
      </c>
      <c r="BW6" s="45" t="str">
        <f t="shared" si="20"/>
        <v>GUANGZHOU BEIDI PACKAGING &amp; PRINTING CO.,LTD.</v>
      </c>
      <c r="BX6" s="45" t="s">
        <v>258</v>
      </c>
      <c r="BY6" s="45" t="str">
        <f t="shared" si="21"/>
        <v>IN01</v>
      </c>
      <c r="BZ6" s="45" t="s">
        <v>244</v>
      </c>
      <c r="CA6" s="45" t="s">
        <v>254</v>
      </c>
      <c r="CB6" s="45" t="str">
        <f t="shared" si="22"/>
        <v>Finance Lease</v>
      </c>
      <c r="CC6" s="45" t="str">
        <f t="shared" si="23"/>
        <v>Sale and Leaseback</v>
      </c>
      <c r="CD6" s="45" t="s">
        <v>259</v>
      </c>
      <c r="CE6" s="45" t="str">
        <f t="shared" si="24"/>
        <v>HEIDELBERG CHINA CO.,LTD.</v>
      </c>
      <c r="CF6" s="45"/>
      <c r="CG6" s="45"/>
      <c r="CH6" s="45"/>
      <c r="CI6" s="45"/>
      <c r="CJ6" s="46">
        <f t="shared" si="25"/>
        <v>0</v>
      </c>
      <c r="CK6" s="45" t="str">
        <f t="shared" si="26"/>
        <v>Advance</v>
      </c>
      <c r="CL6" s="45">
        <f t="shared" si="27"/>
        <v>36</v>
      </c>
      <c r="CM6" s="45" t="str">
        <f t="shared" si="28"/>
        <v>Monthly</v>
      </c>
      <c r="CN6" s="45"/>
      <c r="CO6" s="46">
        <f t="shared" si="29"/>
        <v>2.95</v>
      </c>
      <c r="CP6" s="46">
        <f t="shared" si="30"/>
        <v>8.84</v>
      </c>
      <c r="CQ6" s="45"/>
      <c r="CR6" s="45" t="s">
        <v>260</v>
      </c>
      <c r="CS6" s="45" t="s">
        <v>261</v>
      </c>
      <c r="CT6" s="46">
        <f t="shared" si="31"/>
        <v>6</v>
      </c>
    </row>
    <row r="7" spans="1:98" x14ac:dyDescent="0.35">
      <c r="A7" s="38" t="s">
        <v>262</v>
      </c>
      <c r="B7" s="39" t="s">
        <v>263</v>
      </c>
      <c r="C7" s="39" t="s">
        <v>244</v>
      </c>
      <c r="D7" s="39" t="s">
        <v>276</v>
      </c>
      <c r="E7" s="40" t="s">
        <v>268</v>
      </c>
      <c r="F7" s="40" t="s">
        <v>16</v>
      </c>
      <c r="G7" s="41">
        <v>8860000</v>
      </c>
      <c r="H7" s="40">
        <v>1</v>
      </c>
      <c r="I7" s="40"/>
      <c r="J7" s="40" t="s">
        <v>265</v>
      </c>
      <c r="K7" s="40" t="s">
        <v>269</v>
      </c>
      <c r="L7" s="40" t="s">
        <v>249</v>
      </c>
      <c r="M7" s="40" t="s">
        <v>270</v>
      </c>
      <c r="N7" s="40">
        <v>11.51</v>
      </c>
      <c r="O7" s="40">
        <v>48</v>
      </c>
      <c r="P7" s="40" t="s">
        <v>41</v>
      </c>
      <c r="Q7" s="40" t="s">
        <v>271</v>
      </c>
      <c r="R7" s="43">
        <v>0</v>
      </c>
      <c r="S7" s="44" t="s">
        <v>252</v>
      </c>
      <c r="T7" s="45" t="s">
        <v>253</v>
      </c>
      <c r="U7" s="45">
        <v>1.32</v>
      </c>
      <c r="V7" s="45">
        <v>4.8099999999999996</v>
      </c>
      <c r="W7" s="45" t="s">
        <v>253</v>
      </c>
      <c r="X7" s="46">
        <v>6</v>
      </c>
      <c r="Y7" s="45"/>
      <c r="Z7" s="45"/>
      <c r="AA7" s="45" t="s">
        <v>254</v>
      </c>
      <c r="AB7" s="46">
        <v>3.1</v>
      </c>
      <c r="AC7" s="47">
        <v>46049</v>
      </c>
      <c r="AD7" s="47">
        <v>46049</v>
      </c>
      <c r="AE7" s="45" t="s">
        <v>255</v>
      </c>
      <c r="AF7" s="45"/>
      <c r="AG7" s="45"/>
      <c r="AH7" s="48">
        <v>58134</v>
      </c>
      <c r="AI7" s="45"/>
      <c r="AJ7" s="45"/>
      <c r="AK7" s="45"/>
      <c r="AL7" s="45"/>
      <c r="AM7" s="45">
        <v>48</v>
      </c>
      <c r="AN7" s="45"/>
      <c r="AO7" s="45"/>
      <c r="AP7" s="45"/>
      <c r="AQ7" s="45"/>
      <c r="AR7" s="45"/>
      <c r="AS7" s="45" t="s">
        <v>256</v>
      </c>
      <c r="AT7" s="45" t="s">
        <v>266</v>
      </c>
      <c r="AU7" s="45" t="str">
        <f t="shared" si="0"/>
        <v>CX104-5  - HEIDELBERG - Printing Machines Accessories</v>
      </c>
      <c r="AV7" s="45"/>
      <c r="AW7" s="45">
        <f t="shared" si="1"/>
        <v>0</v>
      </c>
      <c r="AX7" s="45">
        <f t="shared" si="2"/>
        <v>1</v>
      </c>
      <c r="AY7" s="45" t="str">
        <f t="shared" si="3"/>
        <v>CNY</v>
      </c>
      <c r="AZ7" s="48">
        <f t="shared" si="4"/>
        <v>8860000</v>
      </c>
      <c r="BA7" s="45"/>
      <c r="BB7" s="46">
        <f t="shared" si="5"/>
        <v>11.51</v>
      </c>
      <c r="BC7" s="45"/>
      <c r="BD7" s="46">
        <f t="shared" si="6"/>
        <v>0</v>
      </c>
      <c r="BE7" s="45">
        <f t="shared" si="7"/>
        <v>48</v>
      </c>
      <c r="BF7" s="45" t="str">
        <f t="shared" si="8"/>
        <v>Monthly</v>
      </c>
      <c r="BG7" s="45" t="str">
        <f t="shared" si="9"/>
        <v>Advance</v>
      </c>
      <c r="BH7" s="45"/>
      <c r="BI7" s="45"/>
      <c r="BJ7" s="45" t="str">
        <f t="shared" si="10"/>
        <v>Floating</v>
      </c>
      <c r="BK7" s="46">
        <f t="shared" si="11"/>
        <v>3.1</v>
      </c>
      <c r="BL7" s="45">
        <f t="shared" si="12"/>
        <v>1.32</v>
      </c>
      <c r="BM7" s="46">
        <f t="shared" si="13"/>
        <v>4.8099999999999996</v>
      </c>
      <c r="BN7" s="47">
        <f t="shared" si="14"/>
        <v>46049</v>
      </c>
      <c r="BO7" s="47">
        <f t="shared" si="15"/>
        <v>46049</v>
      </c>
      <c r="BP7" s="45"/>
      <c r="BQ7" s="45" t="str">
        <f t="shared" si="16"/>
        <v>YIWU LICHEN PRINTING CO.,LTD.</v>
      </c>
      <c r="BR7" s="45" t="str">
        <f t="shared" si="17"/>
        <v>YIWU LICHEN PRINTING CO.,LTD.</v>
      </c>
      <c r="BS7" s="45" t="str">
        <f t="shared" si="18"/>
        <v>HEIDELBERG GRAPHICS (BEIJING) COMPANY LIMITED</v>
      </c>
      <c r="BT7" s="45">
        <f t="shared" si="19"/>
        <v>0</v>
      </c>
      <c r="BU7" s="45"/>
      <c r="BV7" s="45" t="s">
        <v>257</v>
      </c>
      <c r="BW7" s="45" t="str">
        <f t="shared" si="20"/>
        <v>YIWU LICHEN PRINTING CO.,LTD.</v>
      </c>
      <c r="BX7" s="45" t="s">
        <v>258</v>
      </c>
      <c r="BY7" s="45" t="str">
        <f t="shared" si="21"/>
        <v>IN01</v>
      </c>
      <c r="BZ7" s="45" t="s">
        <v>244</v>
      </c>
      <c r="CA7" s="45" t="s">
        <v>254</v>
      </c>
      <c r="CB7" s="45" t="str">
        <f t="shared" si="22"/>
        <v>Finance Lease</v>
      </c>
      <c r="CC7" s="45" t="str">
        <f t="shared" si="23"/>
        <v>Sale and Leaseback</v>
      </c>
      <c r="CD7" s="45" t="s">
        <v>259</v>
      </c>
      <c r="CE7" s="45" t="str">
        <f t="shared" si="24"/>
        <v>HEIDELBERG GRAPHICS (BEIJING) COMPANY LIMITED</v>
      </c>
      <c r="CF7" s="45"/>
      <c r="CG7" s="45"/>
      <c r="CH7" s="45"/>
      <c r="CI7" s="45"/>
      <c r="CJ7" s="46">
        <f t="shared" si="25"/>
        <v>11.51</v>
      </c>
      <c r="CK7" s="45" t="str">
        <f t="shared" si="26"/>
        <v>Advance</v>
      </c>
      <c r="CL7" s="45">
        <f t="shared" si="27"/>
        <v>48</v>
      </c>
      <c r="CM7" s="45" t="str">
        <f t="shared" si="28"/>
        <v>Monthly</v>
      </c>
      <c r="CN7" s="45"/>
      <c r="CO7" s="46">
        <f t="shared" si="29"/>
        <v>3.1</v>
      </c>
      <c r="CP7" s="46">
        <f t="shared" si="30"/>
        <v>4.8099999999999996</v>
      </c>
      <c r="CQ7" s="45"/>
      <c r="CR7" s="45" t="s">
        <v>260</v>
      </c>
      <c r="CS7" s="45" t="s">
        <v>261</v>
      </c>
      <c r="CT7" s="46">
        <f t="shared" si="31"/>
        <v>6</v>
      </c>
    </row>
    <row r="8" spans="1:98" x14ac:dyDescent="0.35">
      <c r="A8" s="38" t="s">
        <v>277</v>
      </c>
      <c r="B8" s="39" t="s">
        <v>278</v>
      </c>
      <c r="C8" s="39" t="s">
        <v>279</v>
      </c>
      <c r="D8" s="39" t="s">
        <v>280</v>
      </c>
      <c r="E8" s="40" t="s">
        <v>281</v>
      </c>
      <c r="F8" s="40" t="s">
        <v>282</v>
      </c>
      <c r="G8" s="41">
        <v>1354444</v>
      </c>
      <c r="H8" s="40">
        <v>1</v>
      </c>
      <c r="I8" s="40" t="s">
        <v>283</v>
      </c>
      <c r="J8" s="40" t="s">
        <v>28</v>
      </c>
      <c r="K8" s="40" t="s">
        <v>284</v>
      </c>
      <c r="L8" s="40" t="s">
        <v>249</v>
      </c>
      <c r="M8" s="40" t="s">
        <v>285</v>
      </c>
      <c r="N8" s="42">
        <v>0</v>
      </c>
      <c r="O8" s="40">
        <v>36</v>
      </c>
      <c r="P8" s="40" t="s">
        <v>41</v>
      </c>
      <c r="Q8" s="40" t="s">
        <v>251</v>
      </c>
      <c r="R8" s="43">
        <v>0</v>
      </c>
      <c r="S8" s="44" t="s">
        <v>286</v>
      </c>
      <c r="T8" s="45"/>
      <c r="U8" s="46">
        <v>2.5</v>
      </c>
      <c r="V8" s="45">
        <v>6.22</v>
      </c>
      <c r="W8" s="45" t="s">
        <v>287</v>
      </c>
      <c r="X8" s="46">
        <v>13</v>
      </c>
      <c r="Y8" s="45"/>
      <c r="Z8" s="45"/>
      <c r="AA8" s="45" t="s">
        <v>288</v>
      </c>
      <c r="AB8" s="46">
        <v>0</v>
      </c>
      <c r="AC8" s="47">
        <v>45986</v>
      </c>
      <c r="AD8" s="47">
        <v>45986</v>
      </c>
      <c r="AE8" s="45"/>
      <c r="AF8" s="45"/>
      <c r="AG8" s="45"/>
      <c r="AH8" s="45"/>
      <c r="AI8" s="45"/>
      <c r="AJ8" s="45"/>
      <c r="AK8" s="45"/>
      <c r="AL8" s="45"/>
      <c r="AM8" s="45">
        <v>36</v>
      </c>
      <c r="AN8" s="45"/>
      <c r="AO8" s="45"/>
      <c r="AP8" s="45"/>
      <c r="AQ8" s="45"/>
      <c r="AR8" s="45"/>
      <c r="AS8" s="45" t="s">
        <v>256</v>
      </c>
      <c r="AT8" s="45" t="s">
        <v>28</v>
      </c>
      <c r="AU8" s="45" t="str">
        <f t="shared" si="0"/>
        <v>MAN TGX 26.520 6x2-4 LL CH - MAN - Diesel</v>
      </c>
      <c r="AV8" s="45"/>
      <c r="AW8" s="45" t="str">
        <f t="shared" si="1"/>
        <v>King Long New Energy Vehicle Ltd</v>
      </c>
      <c r="AX8" s="45">
        <f t="shared" si="2"/>
        <v>1</v>
      </c>
      <c r="AY8" s="45" t="str">
        <f t="shared" si="3"/>
        <v>HKD</v>
      </c>
      <c r="AZ8" s="48">
        <f t="shared" si="4"/>
        <v>1354444</v>
      </c>
      <c r="BA8" s="45"/>
      <c r="BB8" s="46">
        <f t="shared" si="5"/>
        <v>0</v>
      </c>
      <c r="BC8" s="45"/>
      <c r="BD8" s="46">
        <f t="shared" si="6"/>
        <v>0</v>
      </c>
      <c r="BE8" s="45">
        <f t="shared" si="7"/>
        <v>36</v>
      </c>
      <c r="BF8" s="45" t="str">
        <f t="shared" si="8"/>
        <v>Monthly</v>
      </c>
      <c r="BG8" s="45" t="str">
        <f t="shared" si="9"/>
        <v>Arrears</v>
      </c>
      <c r="BH8" s="45"/>
      <c r="BI8" s="45"/>
      <c r="BJ8" s="45" t="str">
        <f t="shared" si="10"/>
        <v>Fixed</v>
      </c>
      <c r="BK8" s="46">
        <f t="shared" si="11"/>
        <v>0</v>
      </c>
      <c r="BL8" s="45">
        <f t="shared" si="12"/>
        <v>2.5</v>
      </c>
      <c r="BM8" s="46">
        <f t="shared" si="13"/>
        <v>6.22</v>
      </c>
      <c r="BN8" s="47">
        <f t="shared" si="14"/>
        <v>45986</v>
      </c>
      <c r="BO8" s="47">
        <f t="shared" si="15"/>
        <v>45986</v>
      </c>
      <c r="BP8" s="45"/>
      <c r="BQ8" s="45" t="str">
        <f t="shared" si="16"/>
        <v>Concord Bus Company Limited</v>
      </c>
      <c r="BR8" s="45" t="str">
        <f t="shared" si="17"/>
        <v>Concord Bus Company Limited</v>
      </c>
      <c r="BS8" s="45" t="str">
        <f t="shared" si="18"/>
        <v>MAN TRUCK AND BUS HONG KONG LTD</v>
      </c>
      <c r="BT8" s="45" t="str">
        <f t="shared" si="19"/>
        <v>King Long New Energy Vehicle Ltd</v>
      </c>
      <c r="BU8" s="45"/>
      <c r="BV8" s="45" t="s">
        <v>257</v>
      </c>
      <c r="BW8" s="45" t="str">
        <f t="shared" si="20"/>
        <v>Concord Bus Company Limited</v>
      </c>
      <c r="BX8" s="45" t="s">
        <v>258</v>
      </c>
      <c r="BY8" s="45" t="str">
        <f t="shared" si="21"/>
        <v>IN01</v>
      </c>
      <c r="BZ8" s="45" t="s">
        <v>244</v>
      </c>
      <c r="CA8" s="45" t="s">
        <v>254</v>
      </c>
      <c r="CB8" s="45" t="str">
        <f t="shared" si="22"/>
        <v>Finance Lease</v>
      </c>
      <c r="CC8" s="45" t="str">
        <f t="shared" si="23"/>
        <v>Direct lease</v>
      </c>
      <c r="CD8" s="45" t="s">
        <v>259</v>
      </c>
      <c r="CE8" s="45" t="str">
        <f t="shared" si="24"/>
        <v>MAN TRUCK AND BUS HONG KONG LTD</v>
      </c>
      <c r="CF8" s="45"/>
      <c r="CG8" s="45"/>
      <c r="CH8" s="45"/>
      <c r="CI8" s="45"/>
      <c r="CJ8" s="46">
        <f t="shared" si="25"/>
        <v>0</v>
      </c>
      <c r="CK8" s="45" t="str">
        <f t="shared" si="26"/>
        <v>Arrears</v>
      </c>
      <c r="CL8" s="45">
        <f t="shared" si="27"/>
        <v>36</v>
      </c>
      <c r="CM8" s="45" t="str">
        <f t="shared" si="28"/>
        <v>Monthly</v>
      </c>
      <c r="CN8" s="45"/>
      <c r="CO8" s="46">
        <f t="shared" si="29"/>
        <v>0</v>
      </c>
      <c r="CP8" s="46">
        <f t="shared" si="30"/>
        <v>6.22</v>
      </c>
      <c r="CQ8" s="45"/>
      <c r="CR8" s="45" t="s">
        <v>260</v>
      </c>
      <c r="CS8" s="45" t="s">
        <v>261</v>
      </c>
      <c r="CT8" s="46">
        <f t="shared" si="31"/>
        <v>13</v>
      </c>
    </row>
    <row r="9" spans="1:98" x14ac:dyDescent="0.35">
      <c r="A9" s="38" t="s">
        <v>289</v>
      </c>
      <c r="B9" s="39"/>
      <c r="C9" s="39" t="s">
        <v>279</v>
      </c>
      <c r="D9" s="39" t="s">
        <v>290</v>
      </c>
      <c r="E9" s="40" t="s">
        <v>281</v>
      </c>
      <c r="F9" s="40" t="s">
        <v>282</v>
      </c>
      <c r="G9" s="41">
        <v>1354444</v>
      </c>
      <c r="H9" s="40">
        <v>1</v>
      </c>
      <c r="I9" s="40" t="s">
        <v>283</v>
      </c>
      <c r="J9" s="40" t="s">
        <v>28</v>
      </c>
      <c r="K9" s="40" t="s">
        <v>284</v>
      </c>
      <c r="L9" s="40" t="s">
        <v>249</v>
      </c>
      <c r="M9" s="40" t="s">
        <v>285</v>
      </c>
      <c r="N9" s="42">
        <v>0</v>
      </c>
      <c r="O9" s="40">
        <v>36</v>
      </c>
      <c r="P9" s="40" t="s">
        <v>41</v>
      </c>
      <c r="Q9" s="40" t="s">
        <v>251</v>
      </c>
      <c r="R9" s="43">
        <v>0</v>
      </c>
      <c r="S9" s="44" t="s">
        <v>286</v>
      </c>
      <c r="T9" s="45"/>
      <c r="U9" s="46">
        <v>2.5</v>
      </c>
      <c r="V9" s="45">
        <v>6.22</v>
      </c>
      <c r="W9" s="45" t="s">
        <v>287</v>
      </c>
      <c r="X9" s="46">
        <v>13</v>
      </c>
      <c r="Y9" s="45"/>
      <c r="Z9" s="45"/>
      <c r="AA9" s="45" t="s">
        <v>288</v>
      </c>
      <c r="AB9" s="46">
        <v>0</v>
      </c>
      <c r="AC9" s="47">
        <v>45986</v>
      </c>
      <c r="AD9" s="47">
        <v>45986</v>
      </c>
      <c r="AE9" s="45"/>
      <c r="AF9" s="45"/>
      <c r="AG9" s="45"/>
      <c r="AH9" s="49">
        <v>6.9999999999999999E-4</v>
      </c>
      <c r="AI9" s="49">
        <v>1E-4</v>
      </c>
      <c r="AJ9" s="45"/>
      <c r="AK9" s="45"/>
      <c r="AL9" s="45"/>
      <c r="AM9" s="45">
        <v>36</v>
      </c>
      <c r="AN9" s="45"/>
      <c r="AO9" s="45"/>
      <c r="AP9" s="45"/>
      <c r="AQ9" s="45"/>
      <c r="AR9" s="45"/>
      <c r="AS9" s="45" t="s">
        <v>256</v>
      </c>
      <c r="AT9" s="45" t="s">
        <v>28</v>
      </c>
      <c r="AU9" s="45" t="str">
        <f t="shared" si="0"/>
        <v>MAN TGX 26.520 6x2-4 LL CH - MAN - Diesel</v>
      </c>
      <c r="AV9" s="45"/>
      <c r="AW9" s="45" t="str">
        <f t="shared" si="1"/>
        <v>King Long New Energy Vehicle Ltd</v>
      </c>
      <c r="AX9" s="45">
        <f t="shared" si="2"/>
        <v>1</v>
      </c>
      <c r="AY9" s="45" t="str">
        <f t="shared" si="3"/>
        <v>HKD</v>
      </c>
      <c r="AZ9" s="48">
        <f t="shared" si="4"/>
        <v>1354444</v>
      </c>
      <c r="BA9" s="45"/>
      <c r="BB9" s="46">
        <f t="shared" si="5"/>
        <v>0</v>
      </c>
      <c r="BC9" s="45"/>
      <c r="BD9" s="46">
        <f t="shared" si="6"/>
        <v>0</v>
      </c>
      <c r="BE9" s="45">
        <f t="shared" si="7"/>
        <v>36</v>
      </c>
      <c r="BF9" s="45" t="str">
        <f t="shared" si="8"/>
        <v>Monthly</v>
      </c>
      <c r="BG9" s="45" t="str">
        <f t="shared" si="9"/>
        <v>Arrears</v>
      </c>
      <c r="BH9" s="45"/>
      <c r="BI9" s="45"/>
      <c r="BJ9" s="45" t="str">
        <f t="shared" si="10"/>
        <v>Fixed</v>
      </c>
      <c r="BK9" s="46">
        <f t="shared" si="11"/>
        <v>0</v>
      </c>
      <c r="BL9" s="45">
        <f t="shared" si="12"/>
        <v>2.5</v>
      </c>
      <c r="BM9" s="46">
        <f t="shared" si="13"/>
        <v>6.22</v>
      </c>
      <c r="BN9" s="47">
        <f t="shared" si="14"/>
        <v>45986</v>
      </c>
      <c r="BO9" s="47">
        <f t="shared" si="15"/>
        <v>45986</v>
      </c>
      <c r="BP9" s="45"/>
      <c r="BQ9" s="45" t="str">
        <f t="shared" si="16"/>
        <v>Concord Bus Company Limited</v>
      </c>
      <c r="BR9" s="45" t="str">
        <f t="shared" si="17"/>
        <v>Concord Bus Company Limited</v>
      </c>
      <c r="BS9" s="45" t="str">
        <f t="shared" si="18"/>
        <v>MAN TRUCK AND BUS HONG KONG LTD</v>
      </c>
      <c r="BT9" s="45" t="str">
        <f t="shared" si="19"/>
        <v>King Long New Energy Vehicle Ltd</v>
      </c>
      <c r="BU9" s="45"/>
      <c r="BV9" s="45" t="s">
        <v>257</v>
      </c>
      <c r="BW9" s="45" t="str">
        <f t="shared" si="20"/>
        <v>Concord Bus Company Limited</v>
      </c>
      <c r="BX9" s="45" t="s">
        <v>258</v>
      </c>
      <c r="BY9" s="45" t="str">
        <f t="shared" si="21"/>
        <v>IN01</v>
      </c>
      <c r="BZ9" s="45" t="s">
        <v>244</v>
      </c>
      <c r="CA9" s="45" t="s">
        <v>254</v>
      </c>
      <c r="CB9" s="45" t="str">
        <f t="shared" si="22"/>
        <v>Finance Lease</v>
      </c>
      <c r="CC9" s="45" t="str">
        <f t="shared" si="23"/>
        <v>Direct lease</v>
      </c>
      <c r="CD9" s="45" t="s">
        <v>259</v>
      </c>
      <c r="CE9" s="45" t="str">
        <f t="shared" si="24"/>
        <v>MAN TRUCK AND BUS HONG KONG LTD</v>
      </c>
      <c r="CF9" s="45"/>
      <c r="CG9" s="45"/>
      <c r="CH9" s="45"/>
      <c r="CI9" s="45"/>
      <c r="CJ9" s="46">
        <f t="shared" si="25"/>
        <v>0</v>
      </c>
      <c r="CK9" s="45" t="str">
        <f t="shared" si="26"/>
        <v>Arrears</v>
      </c>
      <c r="CL9" s="45">
        <f t="shared" si="27"/>
        <v>36</v>
      </c>
      <c r="CM9" s="45" t="str">
        <f t="shared" si="28"/>
        <v>Monthly</v>
      </c>
      <c r="CN9" s="45"/>
      <c r="CO9" s="46">
        <f t="shared" si="29"/>
        <v>0</v>
      </c>
      <c r="CP9" s="46">
        <f t="shared" si="30"/>
        <v>6.22</v>
      </c>
      <c r="CQ9" s="45"/>
      <c r="CR9" s="45" t="s">
        <v>260</v>
      </c>
      <c r="CS9" s="45" t="s">
        <v>261</v>
      </c>
      <c r="CT9" s="46">
        <f t="shared" si="31"/>
        <v>13</v>
      </c>
    </row>
    <row r="10" spans="1:98" x14ac:dyDescent="0.35">
      <c r="A10" s="38" t="s">
        <v>291</v>
      </c>
      <c r="B10" s="39" t="s">
        <v>292</v>
      </c>
      <c r="C10" s="39" t="s">
        <v>244</v>
      </c>
      <c r="D10" s="39" t="s">
        <v>293</v>
      </c>
      <c r="E10" s="40" t="s">
        <v>294</v>
      </c>
      <c r="F10" s="40" t="s">
        <v>16</v>
      </c>
      <c r="G10" s="41">
        <v>10000000</v>
      </c>
      <c r="H10" s="40">
        <v>1</v>
      </c>
      <c r="I10" s="40" t="s">
        <v>270</v>
      </c>
      <c r="J10" s="40" t="s">
        <v>28</v>
      </c>
      <c r="K10" s="40" t="s">
        <v>295</v>
      </c>
      <c r="L10" s="40" t="s">
        <v>249</v>
      </c>
      <c r="M10" s="40" t="s">
        <v>296</v>
      </c>
      <c r="N10" s="42">
        <v>10</v>
      </c>
      <c r="O10" s="40">
        <v>60</v>
      </c>
      <c r="P10" s="40" t="s">
        <v>41</v>
      </c>
      <c r="Q10" s="40" t="s">
        <v>251</v>
      </c>
      <c r="R10" s="43">
        <v>10</v>
      </c>
      <c r="S10" s="44" t="s">
        <v>286</v>
      </c>
      <c r="T10" s="45" t="s">
        <v>253</v>
      </c>
      <c r="U10" s="45">
        <v>3.57</v>
      </c>
      <c r="V10" s="46">
        <v>7</v>
      </c>
      <c r="W10" s="45" t="s">
        <v>253</v>
      </c>
      <c r="X10" s="46">
        <v>13</v>
      </c>
      <c r="Y10" s="45"/>
      <c r="Z10" s="45"/>
      <c r="AA10" s="45" t="s">
        <v>254</v>
      </c>
      <c r="AB10" s="45">
        <v>3.45</v>
      </c>
      <c r="AC10" s="47">
        <v>45986</v>
      </c>
      <c r="AD10" s="47">
        <v>46016</v>
      </c>
      <c r="AE10" s="45" t="s">
        <v>255</v>
      </c>
      <c r="AF10" s="45"/>
      <c r="AG10" s="45"/>
      <c r="AH10" s="45"/>
      <c r="AI10" s="45"/>
      <c r="AJ10" s="45"/>
      <c r="AK10" s="45"/>
      <c r="AL10" s="48">
        <v>200000</v>
      </c>
      <c r="AM10" s="45">
        <v>60</v>
      </c>
      <c r="AN10" s="48">
        <v>50000</v>
      </c>
      <c r="AO10" s="48"/>
      <c r="AP10" s="48"/>
      <c r="AQ10" s="48"/>
      <c r="AR10" s="48"/>
      <c r="AS10" s="48" t="s">
        <v>256</v>
      </c>
      <c r="AT10" s="48" t="s">
        <v>28</v>
      </c>
      <c r="AU10" s="45" t="str">
        <f t="shared" si="0"/>
        <v>CX104-7+L  - HEIDELBERG - Printing Machines Accessories</v>
      </c>
      <c r="AV10" s="45"/>
      <c r="AW10" s="45" t="str">
        <f t="shared" si="1"/>
        <v>HEIDELBERG GRAPHICS (BEIJING) COMPANY LIMITED</v>
      </c>
      <c r="AX10" s="45">
        <f t="shared" si="2"/>
        <v>1</v>
      </c>
      <c r="AY10" s="45" t="str">
        <f t="shared" si="3"/>
        <v>CNY</v>
      </c>
      <c r="AZ10" s="48">
        <f t="shared" si="4"/>
        <v>10000000</v>
      </c>
      <c r="BA10" s="45"/>
      <c r="BB10" s="46">
        <f t="shared" si="5"/>
        <v>10</v>
      </c>
      <c r="BC10" s="45"/>
      <c r="BD10" s="46">
        <f t="shared" si="6"/>
        <v>10</v>
      </c>
      <c r="BE10" s="45">
        <f t="shared" si="7"/>
        <v>60</v>
      </c>
      <c r="BF10" s="45" t="str">
        <f t="shared" si="8"/>
        <v>Monthly</v>
      </c>
      <c r="BG10" s="45" t="str">
        <f t="shared" si="9"/>
        <v>Arrears</v>
      </c>
      <c r="BH10" s="45"/>
      <c r="BI10" s="45"/>
      <c r="BJ10" s="45" t="str">
        <f t="shared" si="10"/>
        <v>Fixed</v>
      </c>
      <c r="BK10" s="46">
        <f t="shared" si="11"/>
        <v>3.45</v>
      </c>
      <c r="BL10" s="45">
        <f t="shared" si="12"/>
        <v>3.57</v>
      </c>
      <c r="BM10" s="46">
        <f t="shared" si="13"/>
        <v>7</v>
      </c>
      <c r="BN10" s="47">
        <f t="shared" si="14"/>
        <v>45986</v>
      </c>
      <c r="BO10" s="47">
        <f t="shared" si="15"/>
        <v>46016</v>
      </c>
      <c r="BP10" s="45"/>
      <c r="BQ10" s="45" t="str">
        <f t="shared" si="16"/>
        <v>BEIJING XINYING PRINTING CO., LTD</v>
      </c>
      <c r="BR10" s="45" t="str">
        <f t="shared" si="17"/>
        <v>BEIJING XINYING PRINTING CO., LTD</v>
      </c>
      <c r="BS10" s="45" t="str">
        <f t="shared" si="18"/>
        <v>HEIDELBERG</v>
      </c>
      <c r="BT10" s="45" t="str">
        <f t="shared" si="19"/>
        <v>HEIDELBERG GRAPHICS (BEIJING) COMPANY LIMITED</v>
      </c>
      <c r="BU10" s="45"/>
      <c r="BV10" s="45" t="s">
        <v>257</v>
      </c>
      <c r="BW10" s="45" t="str">
        <f t="shared" si="20"/>
        <v>BEIJING XINYING PRINTING CO., LTD</v>
      </c>
      <c r="BX10" s="45" t="s">
        <v>258</v>
      </c>
      <c r="BY10" s="45" t="str">
        <f t="shared" si="21"/>
        <v>IN01</v>
      </c>
      <c r="BZ10" s="45" t="s">
        <v>244</v>
      </c>
      <c r="CA10" s="45" t="s">
        <v>254</v>
      </c>
      <c r="CB10" s="45" t="str">
        <f t="shared" si="22"/>
        <v>Finance Lease</v>
      </c>
      <c r="CC10" s="45" t="str">
        <f t="shared" si="23"/>
        <v>Direct lease</v>
      </c>
      <c r="CD10" s="45" t="s">
        <v>259</v>
      </c>
      <c r="CE10" s="45" t="str">
        <f t="shared" si="24"/>
        <v>HEIDELBERG</v>
      </c>
      <c r="CF10" s="45"/>
      <c r="CG10" s="45"/>
      <c r="CH10" s="45"/>
      <c r="CI10" s="45"/>
      <c r="CJ10" s="46">
        <f t="shared" si="25"/>
        <v>10</v>
      </c>
      <c r="CK10" s="45" t="str">
        <f t="shared" si="26"/>
        <v>Arrears</v>
      </c>
      <c r="CL10" s="45">
        <f t="shared" si="27"/>
        <v>60</v>
      </c>
      <c r="CM10" s="45" t="str">
        <f t="shared" si="28"/>
        <v>Monthly</v>
      </c>
      <c r="CN10" s="45"/>
      <c r="CO10" s="46">
        <f t="shared" si="29"/>
        <v>3.45</v>
      </c>
      <c r="CP10" s="46">
        <f t="shared" si="30"/>
        <v>7</v>
      </c>
      <c r="CQ10" s="45"/>
      <c r="CR10" s="45" t="s">
        <v>260</v>
      </c>
      <c r="CS10" s="45" t="s">
        <v>261</v>
      </c>
      <c r="CT10" s="46">
        <f t="shared" si="31"/>
        <v>13</v>
      </c>
    </row>
    <row r="11" spans="1:98" x14ac:dyDescent="0.35">
      <c r="A11" s="38" t="s">
        <v>297</v>
      </c>
      <c r="B11" s="39" t="s">
        <v>298</v>
      </c>
      <c r="C11" s="39" t="s">
        <v>244</v>
      </c>
      <c r="D11" s="39" t="s">
        <v>299</v>
      </c>
      <c r="E11" s="40" t="s">
        <v>294</v>
      </c>
      <c r="F11" s="40" t="s">
        <v>16</v>
      </c>
      <c r="G11" s="41">
        <v>9000000</v>
      </c>
      <c r="H11" s="40">
        <v>1</v>
      </c>
      <c r="I11" s="40" t="s">
        <v>270</v>
      </c>
      <c r="J11" s="40" t="s">
        <v>28</v>
      </c>
      <c r="K11" s="40" t="s">
        <v>300</v>
      </c>
      <c r="L11" s="40" t="s">
        <v>249</v>
      </c>
      <c r="M11" s="40" t="s">
        <v>274</v>
      </c>
      <c r="N11" s="42">
        <v>0</v>
      </c>
      <c r="O11" s="40">
        <v>24</v>
      </c>
      <c r="P11" s="40" t="s">
        <v>41</v>
      </c>
      <c r="Q11" s="40" t="s">
        <v>251</v>
      </c>
      <c r="R11" s="43">
        <v>50</v>
      </c>
      <c r="S11" s="44" t="s">
        <v>252</v>
      </c>
      <c r="T11" s="45" t="s">
        <v>287</v>
      </c>
      <c r="U11" s="45">
        <v>5.01</v>
      </c>
      <c r="V11" s="45">
        <v>8</v>
      </c>
      <c r="W11" s="45" t="s">
        <v>253</v>
      </c>
      <c r="X11" s="46">
        <v>13</v>
      </c>
      <c r="Y11" s="45"/>
      <c r="Z11" s="45"/>
      <c r="AA11" s="45" t="s">
        <v>254</v>
      </c>
      <c r="AB11" s="46">
        <v>3.1</v>
      </c>
      <c r="AC11" s="47">
        <v>45973</v>
      </c>
      <c r="AD11" s="47">
        <v>45973</v>
      </c>
      <c r="AE11" s="45" t="s">
        <v>255</v>
      </c>
      <c r="AF11" s="45"/>
      <c r="AG11" s="45"/>
      <c r="AH11" s="45"/>
      <c r="AI11" s="45"/>
      <c r="AJ11" s="45"/>
      <c r="AK11" s="45"/>
      <c r="AL11" s="48">
        <v>300000</v>
      </c>
      <c r="AM11" s="45">
        <v>24</v>
      </c>
      <c r="AN11" s="48">
        <v>7200</v>
      </c>
      <c r="AO11" s="48"/>
      <c r="AP11" s="48"/>
      <c r="AQ11" s="48"/>
      <c r="AR11" s="48"/>
      <c r="AS11" s="48" t="s">
        <v>256</v>
      </c>
      <c r="AT11" s="48" t="s">
        <v>28</v>
      </c>
      <c r="AU11" s="45" t="str">
        <f t="shared" si="0"/>
        <v>CX104-7+L  - HEIDELBERG - Printing Machines Accessories</v>
      </c>
      <c r="AV11" s="45"/>
      <c r="AW11" s="45" t="str">
        <f t="shared" si="1"/>
        <v>HEIDELBERG GRAPHICS (BEIJING) COMPANY LIMITED</v>
      </c>
      <c r="AX11" s="45">
        <f t="shared" si="2"/>
        <v>1</v>
      </c>
      <c r="AY11" s="45" t="str">
        <f t="shared" si="3"/>
        <v>CNY</v>
      </c>
      <c r="AZ11" s="48">
        <f t="shared" si="4"/>
        <v>9000000</v>
      </c>
      <c r="BA11" s="45"/>
      <c r="BB11" s="46">
        <f t="shared" si="5"/>
        <v>0</v>
      </c>
      <c r="BC11" s="45"/>
      <c r="BD11" s="46">
        <f t="shared" si="6"/>
        <v>50</v>
      </c>
      <c r="BE11" s="45">
        <f t="shared" si="7"/>
        <v>24</v>
      </c>
      <c r="BF11" s="45" t="str">
        <f t="shared" si="8"/>
        <v>Monthly</v>
      </c>
      <c r="BG11" s="45" t="str">
        <f t="shared" si="9"/>
        <v>Advance</v>
      </c>
      <c r="BH11" s="45"/>
      <c r="BI11" s="45"/>
      <c r="BJ11" s="45" t="str">
        <f t="shared" si="10"/>
        <v>Fixed</v>
      </c>
      <c r="BK11" s="46">
        <f t="shared" si="11"/>
        <v>3.1</v>
      </c>
      <c r="BL11" s="45">
        <f t="shared" si="12"/>
        <v>5.01</v>
      </c>
      <c r="BM11" s="46">
        <f t="shared" si="13"/>
        <v>8</v>
      </c>
      <c r="BN11" s="47">
        <f t="shared" si="14"/>
        <v>45973</v>
      </c>
      <c r="BO11" s="47">
        <f t="shared" si="15"/>
        <v>45973</v>
      </c>
      <c r="BP11" s="45"/>
      <c r="BQ11" s="45" t="str">
        <f t="shared" si="16"/>
        <v>Zhejiang Wencang Technology Co., Ltd.</v>
      </c>
      <c r="BR11" s="45" t="str">
        <f t="shared" si="17"/>
        <v>Zhejiang Wencang Technology Co., Ltd.</v>
      </c>
      <c r="BS11" s="45" t="str">
        <f t="shared" si="18"/>
        <v>HEIDELBERG CHINA CO.,LTD.</v>
      </c>
      <c r="BT11" s="45" t="str">
        <f t="shared" si="19"/>
        <v>HEIDELBERG GRAPHICS (BEIJING) COMPANY LIMITED</v>
      </c>
      <c r="BU11" s="45"/>
      <c r="BV11" s="45" t="s">
        <v>257</v>
      </c>
      <c r="BW11" s="45" t="str">
        <f t="shared" si="20"/>
        <v>Zhejiang Wencang Technology Co., Ltd.</v>
      </c>
      <c r="BX11" s="45" t="s">
        <v>258</v>
      </c>
      <c r="BY11" s="45" t="str">
        <f t="shared" si="21"/>
        <v>IN01</v>
      </c>
      <c r="BZ11" s="45" t="s">
        <v>244</v>
      </c>
      <c r="CA11" s="45" t="s">
        <v>254</v>
      </c>
      <c r="CB11" s="45" t="str">
        <f t="shared" si="22"/>
        <v>Finance Lease</v>
      </c>
      <c r="CC11" s="45" t="str">
        <f t="shared" si="23"/>
        <v>Direct lease</v>
      </c>
      <c r="CD11" s="45" t="s">
        <v>259</v>
      </c>
      <c r="CE11" s="45" t="str">
        <f t="shared" si="24"/>
        <v>HEIDELBERG CHINA CO.,LTD.</v>
      </c>
      <c r="CF11" s="45"/>
      <c r="CG11" s="45"/>
      <c r="CH11" s="45"/>
      <c r="CI11" s="45"/>
      <c r="CJ11" s="46">
        <f t="shared" si="25"/>
        <v>0</v>
      </c>
      <c r="CK11" s="45" t="str">
        <f t="shared" si="26"/>
        <v>Advance</v>
      </c>
      <c r="CL11" s="45">
        <f t="shared" si="27"/>
        <v>24</v>
      </c>
      <c r="CM11" s="45" t="str">
        <f t="shared" si="28"/>
        <v>Monthly</v>
      </c>
      <c r="CN11" s="45"/>
      <c r="CO11" s="46">
        <f t="shared" si="29"/>
        <v>3.1</v>
      </c>
      <c r="CP11" s="46">
        <f t="shared" si="30"/>
        <v>8</v>
      </c>
      <c r="CQ11" s="45"/>
      <c r="CR11" s="45" t="s">
        <v>260</v>
      </c>
      <c r="CS11" s="45" t="s">
        <v>261</v>
      </c>
      <c r="CT11" s="46">
        <f t="shared" si="31"/>
        <v>13</v>
      </c>
    </row>
    <row r="12" spans="1:98" x14ac:dyDescent="0.35">
      <c r="A12" s="38" t="s">
        <v>301</v>
      </c>
      <c r="B12" s="39" t="s">
        <v>302</v>
      </c>
      <c r="C12" s="39" t="s">
        <v>244</v>
      </c>
      <c r="D12" s="39" t="s">
        <v>303</v>
      </c>
      <c r="E12" s="40" t="s">
        <v>294</v>
      </c>
      <c r="F12" s="40" t="s">
        <v>16</v>
      </c>
      <c r="G12" s="41">
        <v>20039419</v>
      </c>
      <c r="H12" s="40">
        <v>1</v>
      </c>
      <c r="I12" s="40" t="s">
        <v>270</v>
      </c>
      <c r="J12" s="40" t="s">
        <v>265</v>
      </c>
      <c r="K12" s="40" t="s">
        <v>304</v>
      </c>
      <c r="L12" s="40" t="s">
        <v>249</v>
      </c>
      <c r="M12" s="40" t="s">
        <v>270</v>
      </c>
      <c r="N12" s="42">
        <v>0</v>
      </c>
      <c r="O12" s="40">
        <v>36</v>
      </c>
      <c r="P12" s="40" t="s">
        <v>41</v>
      </c>
      <c r="Q12" s="40" t="s">
        <v>271</v>
      </c>
      <c r="R12" s="43">
        <v>0</v>
      </c>
      <c r="S12" s="44" t="s">
        <v>252</v>
      </c>
      <c r="T12" s="45" t="s">
        <v>253</v>
      </c>
      <c r="U12" s="45">
        <v>3.85</v>
      </c>
      <c r="V12" s="45">
        <v>7.14</v>
      </c>
      <c r="W12" s="45" t="s">
        <v>253</v>
      </c>
      <c r="X12" s="46">
        <v>6</v>
      </c>
      <c r="Y12" s="45"/>
      <c r="Z12" s="45"/>
      <c r="AA12" s="45" t="s">
        <v>254</v>
      </c>
      <c r="AB12" s="45">
        <v>2.95</v>
      </c>
      <c r="AC12" s="47">
        <v>46016</v>
      </c>
      <c r="AD12" s="47">
        <v>46016</v>
      </c>
      <c r="AE12" s="45" t="s">
        <v>255</v>
      </c>
      <c r="AF12" s="45"/>
      <c r="AG12" s="45"/>
      <c r="AH12" s="48">
        <v>97346.89</v>
      </c>
      <c r="AI12" s="45"/>
      <c r="AJ12" s="45"/>
      <c r="AK12" s="45"/>
      <c r="AL12" s="45"/>
      <c r="AM12" s="45">
        <v>36</v>
      </c>
      <c r="AN12" s="45"/>
      <c r="AO12" s="45"/>
      <c r="AP12" s="45"/>
      <c r="AQ12" s="45"/>
      <c r="AR12" s="45"/>
      <c r="AS12" s="45" t="s">
        <v>256</v>
      </c>
      <c r="AT12" s="45" t="s">
        <v>266</v>
      </c>
      <c r="AU12" s="45" t="str">
        <f t="shared" si="0"/>
        <v>CX104-7+L  - HEIDELBERG - Printing Machines Accessories</v>
      </c>
      <c r="AV12" s="45"/>
      <c r="AW12" s="45" t="str">
        <f t="shared" si="1"/>
        <v>HEIDELBERG GRAPHICS (BEIJING) COMPANY LIMITED</v>
      </c>
      <c r="AX12" s="45">
        <f t="shared" si="2"/>
        <v>1</v>
      </c>
      <c r="AY12" s="45" t="str">
        <f t="shared" si="3"/>
        <v>CNY</v>
      </c>
      <c r="AZ12" s="48">
        <f t="shared" si="4"/>
        <v>20039419</v>
      </c>
      <c r="BA12" s="45"/>
      <c r="BB12" s="46">
        <f t="shared" si="5"/>
        <v>0</v>
      </c>
      <c r="BC12" s="45"/>
      <c r="BD12" s="46">
        <f t="shared" si="6"/>
        <v>0</v>
      </c>
      <c r="BE12" s="45">
        <f t="shared" si="7"/>
        <v>36</v>
      </c>
      <c r="BF12" s="45" t="str">
        <f t="shared" si="8"/>
        <v>Monthly</v>
      </c>
      <c r="BG12" s="45" t="str">
        <f t="shared" si="9"/>
        <v>Advance</v>
      </c>
      <c r="BH12" s="45"/>
      <c r="BI12" s="45"/>
      <c r="BJ12" s="45" t="str">
        <f t="shared" si="10"/>
        <v>Floating</v>
      </c>
      <c r="BK12" s="46">
        <f t="shared" si="11"/>
        <v>2.95</v>
      </c>
      <c r="BL12" s="45">
        <f t="shared" si="12"/>
        <v>3.85</v>
      </c>
      <c r="BM12" s="46">
        <f t="shared" si="13"/>
        <v>7.14</v>
      </c>
      <c r="BN12" s="47">
        <f t="shared" si="14"/>
        <v>46016</v>
      </c>
      <c r="BO12" s="47">
        <f t="shared" si="15"/>
        <v>46016</v>
      </c>
      <c r="BP12" s="45"/>
      <c r="BQ12" s="45" t="str">
        <f t="shared" si="16"/>
        <v>Dongguan Painuo Packaging Materials Co., Ltd.</v>
      </c>
      <c r="BR12" s="45" t="str">
        <f t="shared" si="17"/>
        <v>Dongguan Painuo Packaging Materials Co., Ltd.</v>
      </c>
      <c r="BS12" s="45" t="str">
        <f t="shared" si="18"/>
        <v>HEIDELBERG GRAPHICS (BEIJING) COMPANY LIMITED</v>
      </c>
      <c r="BT12" s="45" t="str">
        <f t="shared" si="19"/>
        <v>HEIDELBERG GRAPHICS (BEIJING) COMPANY LIMITED</v>
      </c>
      <c r="BU12" s="45"/>
      <c r="BV12" s="45" t="s">
        <v>257</v>
      </c>
      <c r="BW12" s="45" t="str">
        <f t="shared" si="20"/>
        <v>Dongguan Painuo Packaging Materials Co., Ltd.</v>
      </c>
      <c r="BX12" s="45" t="s">
        <v>258</v>
      </c>
      <c r="BY12" s="45" t="str">
        <f t="shared" si="21"/>
        <v>IN01</v>
      </c>
      <c r="BZ12" s="45" t="s">
        <v>244</v>
      </c>
      <c r="CA12" s="45" t="s">
        <v>254</v>
      </c>
      <c r="CB12" s="45" t="str">
        <f t="shared" si="22"/>
        <v>Finance Lease</v>
      </c>
      <c r="CC12" s="45" t="str">
        <f t="shared" si="23"/>
        <v>Sale and Leaseback</v>
      </c>
      <c r="CD12" s="45" t="s">
        <v>259</v>
      </c>
      <c r="CE12" s="45" t="str">
        <f t="shared" si="24"/>
        <v>HEIDELBERG GRAPHICS (BEIJING) COMPANY LIMITED</v>
      </c>
      <c r="CF12" s="45"/>
      <c r="CG12" s="45"/>
      <c r="CH12" s="45"/>
      <c r="CI12" s="45"/>
      <c r="CJ12" s="46">
        <f t="shared" si="25"/>
        <v>0</v>
      </c>
      <c r="CK12" s="45" t="str">
        <f t="shared" si="26"/>
        <v>Advance</v>
      </c>
      <c r="CL12" s="45">
        <f t="shared" si="27"/>
        <v>36</v>
      </c>
      <c r="CM12" s="45" t="str">
        <f t="shared" si="28"/>
        <v>Monthly</v>
      </c>
      <c r="CN12" s="45"/>
      <c r="CO12" s="46">
        <f t="shared" si="29"/>
        <v>2.95</v>
      </c>
      <c r="CP12" s="46">
        <f t="shared" si="30"/>
        <v>7.14</v>
      </c>
      <c r="CQ12" s="45"/>
      <c r="CR12" s="45" t="s">
        <v>260</v>
      </c>
      <c r="CS12" s="45" t="s">
        <v>261</v>
      </c>
      <c r="CT12" s="46">
        <f t="shared" si="31"/>
        <v>6</v>
      </c>
    </row>
    <row r="13" spans="1:98" x14ac:dyDescent="0.35">
      <c r="A13" s="38" t="s">
        <v>301</v>
      </c>
      <c r="B13" s="39" t="s">
        <v>302</v>
      </c>
      <c r="C13" s="39" t="s">
        <v>244</v>
      </c>
      <c r="D13" s="39" t="s">
        <v>305</v>
      </c>
      <c r="E13" s="40" t="s">
        <v>294</v>
      </c>
      <c r="F13" s="40" t="s">
        <v>16</v>
      </c>
      <c r="G13" s="41">
        <v>7600000</v>
      </c>
      <c r="H13" s="40">
        <v>1</v>
      </c>
      <c r="I13" s="40"/>
      <c r="J13" s="40" t="s">
        <v>265</v>
      </c>
      <c r="K13" s="40" t="s">
        <v>306</v>
      </c>
      <c r="L13" s="40" t="s">
        <v>249</v>
      </c>
      <c r="M13" s="40" t="s">
        <v>274</v>
      </c>
      <c r="N13" s="42">
        <v>0</v>
      </c>
      <c r="O13" s="40">
        <v>48</v>
      </c>
      <c r="P13" s="40" t="s">
        <v>41</v>
      </c>
      <c r="Q13" s="40" t="s">
        <v>271</v>
      </c>
      <c r="R13" s="43">
        <v>0</v>
      </c>
      <c r="S13" s="44" t="s">
        <v>252</v>
      </c>
      <c r="T13" s="45" t="s">
        <v>253</v>
      </c>
      <c r="U13" s="45">
        <v>2.91</v>
      </c>
      <c r="V13" s="45">
        <v>6.36</v>
      </c>
      <c r="W13" s="45" t="s">
        <v>253</v>
      </c>
      <c r="X13" s="46">
        <v>6</v>
      </c>
      <c r="Y13" s="45"/>
      <c r="Z13" s="45"/>
      <c r="AA13" s="45" t="s">
        <v>254</v>
      </c>
      <c r="AB13" s="46">
        <v>3.1</v>
      </c>
      <c r="AC13" s="47">
        <v>46016</v>
      </c>
      <c r="AD13" s="47">
        <v>46016</v>
      </c>
      <c r="AE13" s="45" t="s">
        <v>255</v>
      </c>
      <c r="AF13" s="45"/>
      <c r="AG13" s="45"/>
      <c r="AH13" s="48">
        <v>34635.839999999997</v>
      </c>
      <c r="AI13" s="45"/>
      <c r="AJ13" s="45"/>
      <c r="AK13" s="45"/>
      <c r="AL13" s="45"/>
      <c r="AM13" s="45">
        <v>48</v>
      </c>
      <c r="AN13" s="48">
        <v>14441.17</v>
      </c>
      <c r="AO13" s="48"/>
      <c r="AP13" s="48"/>
      <c r="AQ13" s="48"/>
      <c r="AR13" s="48"/>
      <c r="AS13" s="48" t="s">
        <v>256</v>
      </c>
      <c r="AT13" s="48" t="s">
        <v>266</v>
      </c>
      <c r="AU13" s="45" t="str">
        <f t="shared" si="0"/>
        <v>CX104-7+L  - HEIDELBERG - Printing Machines Accessories</v>
      </c>
      <c r="AV13" s="45"/>
      <c r="AW13" s="45">
        <f t="shared" si="1"/>
        <v>0</v>
      </c>
      <c r="AX13" s="45">
        <f t="shared" si="2"/>
        <v>1</v>
      </c>
      <c r="AY13" s="45" t="str">
        <f t="shared" si="3"/>
        <v>CNY</v>
      </c>
      <c r="AZ13" s="48">
        <f t="shared" si="4"/>
        <v>7600000</v>
      </c>
      <c r="BA13" s="45"/>
      <c r="BB13" s="46">
        <f t="shared" si="5"/>
        <v>0</v>
      </c>
      <c r="BC13" s="45"/>
      <c r="BD13" s="46">
        <f t="shared" si="6"/>
        <v>0</v>
      </c>
      <c r="BE13" s="45">
        <f t="shared" si="7"/>
        <v>48</v>
      </c>
      <c r="BF13" s="45" t="str">
        <f t="shared" si="8"/>
        <v>Monthly</v>
      </c>
      <c r="BG13" s="45" t="str">
        <f t="shared" si="9"/>
        <v>Advance</v>
      </c>
      <c r="BH13" s="45"/>
      <c r="BI13" s="45"/>
      <c r="BJ13" s="45" t="str">
        <f t="shared" si="10"/>
        <v>Floating</v>
      </c>
      <c r="BK13" s="46">
        <f t="shared" si="11"/>
        <v>3.1</v>
      </c>
      <c r="BL13" s="45">
        <f t="shared" si="12"/>
        <v>2.91</v>
      </c>
      <c r="BM13" s="46">
        <f t="shared" si="13"/>
        <v>6.36</v>
      </c>
      <c r="BN13" s="47">
        <f t="shared" si="14"/>
        <v>46016</v>
      </c>
      <c r="BO13" s="47">
        <f t="shared" si="15"/>
        <v>46016</v>
      </c>
      <c r="BP13" s="45"/>
      <c r="BQ13" s="45" t="str">
        <f t="shared" si="16"/>
        <v>YIWU HANLIN PRINTING AND PACKAGING CO., LTD.</v>
      </c>
      <c r="BR13" s="45" t="str">
        <f t="shared" si="17"/>
        <v>YIWU HANLIN PRINTING AND PACKAGING CO., LTD.</v>
      </c>
      <c r="BS13" s="45" t="str">
        <f t="shared" si="18"/>
        <v>HEIDELBERG CHINA CO.,LTD.</v>
      </c>
      <c r="BT13" s="45">
        <f t="shared" si="19"/>
        <v>0</v>
      </c>
      <c r="BU13" s="45"/>
      <c r="BV13" s="45" t="s">
        <v>257</v>
      </c>
      <c r="BW13" s="45" t="str">
        <f t="shared" si="20"/>
        <v>YIWU HANLIN PRINTING AND PACKAGING CO., LTD.</v>
      </c>
      <c r="BX13" s="45" t="s">
        <v>258</v>
      </c>
      <c r="BY13" s="45" t="str">
        <f t="shared" si="21"/>
        <v>IN01</v>
      </c>
      <c r="BZ13" s="45" t="s">
        <v>244</v>
      </c>
      <c r="CA13" s="45" t="s">
        <v>254</v>
      </c>
      <c r="CB13" s="45" t="str">
        <f t="shared" si="22"/>
        <v>Finance Lease</v>
      </c>
      <c r="CC13" s="45" t="str">
        <f t="shared" si="23"/>
        <v>Sale and Leaseback</v>
      </c>
      <c r="CD13" s="45" t="s">
        <v>259</v>
      </c>
      <c r="CE13" s="45" t="str">
        <f t="shared" si="24"/>
        <v>HEIDELBERG CHINA CO.,LTD.</v>
      </c>
      <c r="CF13" s="45"/>
      <c r="CG13" s="45"/>
      <c r="CH13" s="45"/>
      <c r="CI13" s="45"/>
      <c r="CJ13" s="46">
        <f t="shared" si="25"/>
        <v>0</v>
      </c>
      <c r="CK13" s="45" t="str">
        <f t="shared" si="26"/>
        <v>Advance</v>
      </c>
      <c r="CL13" s="45">
        <f t="shared" si="27"/>
        <v>48</v>
      </c>
      <c r="CM13" s="45" t="str">
        <f t="shared" si="28"/>
        <v>Monthly</v>
      </c>
      <c r="CN13" s="45"/>
      <c r="CO13" s="46">
        <f t="shared" si="29"/>
        <v>3.1</v>
      </c>
      <c r="CP13" s="46">
        <f t="shared" si="30"/>
        <v>6.36</v>
      </c>
      <c r="CQ13" s="45"/>
      <c r="CR13" s="45" t="s">
        <v>260</v>
      </c>
      <c r="CS13" s="45" t="s">
        <v>261</v>
      </c>
      <c r="CT13" s="46">
        <f t="shared" si="31"/>
        <v>6</v>
      </c>
    </row>
    <row r="14" spans="1:98" ht="17.25" customHeight="1" x14ac:dyDescent="0.35">
      <c r="A14" s="38" t="s">
        <v>307</v>
      </c>
      <c r="B14" s="39" t="s">
        <v>308</v>
      </c>
      <c r="C14" s="39" t="s">
        <v>244</v>
      </c>
      <c r="D14" s="39" t="s">
        <v>309</v>
      </c>
      <c r="E14" s="40" t="s">
        <v>310</v>
      </c>
      <c r="F14" s="40" t="s">
        <v>311</v>
      </c>
      <c r="G14" s="41">
        <v>10220375</v>
      </c>
      <c r="H14" s="40">
        <v>1</v>
      </c>
      <c r="I14" s="40" t="s">
        <v>312</v>
      </c>
      <c r="J14" s="40" t="s">
        <v>313</v>
      </c>
      <c r="K14" s="40" t="s">
        <v>314</v>
      </c>
      <c r="L14" s="40" t="s">
        <v>249</v>
      </c>
      <c r="M14" s="40" t="s">
        <v>315</v>
      </c>
      <c r="N14" s="42">
        <v>0</v>
      </c>
      <c r="O14" s="40">
        <v>36</v>
      </c>
      <c r="P14" s="40" t="s">
        <v>41</v>
      </c>
      <c r="Q14" s="40" t="s">
        <v>251</v>
      </c>
      <c r="R14" s="43"/>
      <c r="S14" s="44" t="s">
        <v>252</v>
      </c>
      <c r="T14" s="45"/>
      <c r="U14" s="45">
        <v>7.65</v>
      </c>
      <c r="V14" s="45" t="s">
        <v>316</v>
      </c>
      <c r="W14" s="45" t="s">
        <v>253</v>
      </c>
      <c r="X14" s="46">
        <v>6</v>
      </c>
      <c r="Y14" s="45"/>
      <c r="Z14" s="45"/>
      <c r="AA14" s="45" t="s">
        <v>254</v>
      </c>
      <c r="AB14" s="46">
        <v>3.2</v>
      </c>
      <c r="AC14" s="45"/>
      <c r="AD14" s="45"/>
      <c r="AE14" s="45" t="s">
        <v>255</v>
      </c>
      <c r="AF14" s="45" t="s">
        <v>317</v>
      </c>
      <c r="AG14" s="45" t="s">
        <v>318</v>
      </c>
      <c r="AH14" s="45"/>
      <c r="AI14" s="48">
        <v>49248.82</v>
      </c>
      <c r="AJ14" s="48">
        <v>992900</v>
      </c>
      <c r="AK14" s="45"/>
      <c r="AL14" s="45"/>
      <c r="AM14" s="45"/>
      <c r="AN14" s="45"/>
      <c r="AO14" s="50" t="s">
        <v>319</v>
      </c>
      <c r="AP14" s="50" t="s">
        <v>320</v>
      </c>
      <c r="AQ14" s="50" t="s">
        <v>321</v>
      </c>
      <c r="AR14" s="51" t="s">
        <v>322</v>
      </c>
      <c r="AS14" s="51" t="s">
        <v>313</v>
      </c>
      <c r="AT14" s="51" t="s">
        <v>323</v>
      </c>
      <c r="AU14" s="45" t="str">
        <f t="shared" si="0"/>
        <v>CISCO Networking Networking - CISCO - Router or Switch</v>
      </c>
      <c r="AV14" s="45"/>
      <c r="AW14" s="45" t="str">
        <f t="shared" si="1"/>
        <v>SHANGHAI DIGITAL CHINA LIMITED COMPANY</v>
      </c>
      <c r="AX14" s="45">
        <f t="shared" si="2"/>
        <v>1</v>
      </c>
      <c r="AY14" s="45" t="str">
        <f t="shared" si="3"/>
        <v>CNY</v>
      </c>
      <c r="AZ14" s="48">
        <f t="shared" si="4"/>
        <v>10220375</v>
      </c>
      <c r="BA14" s="45"/>
      <c r="BB14" s="46">
        <f t="shared" si="5"/>
        <v>0</v>
      </c>
      <c r="BC14" s="45"/>
      <c r="BD14" s="46">
        <f t="shared" si="6"/>
        <v>0</v>
      </c>
      <c r="BE14" s="45">
        <f t="shared" si="7"/>
        <v>36</v>
      </c>
      <c r="BF14" s="45" t="str">
        <f t="shared" si="8"/>
        <v>Monthly</v>
      </c>
      <c r="BG14" s="45" t="str">
        <f t="shared" si="9"/>
        <v>Advance</v>
      </c>
      <c r="BH14" s="45"/>
      <c r="BI14" s="45"/>
      <c r="BJ14" s="45" t="str">
        <f t="shared" si="10"/>
        <v>Fixed</v>
      </c>
      <c r="BK14" s="46">
        <f t="shared" si="11"/>
        <v>3.2</v>
      </c>
      <c r="BL14" s="45">
        <f t="shared" si="12"/>
        <v>7.65</v>
      </c>
      <c r="BM14" s="46" t="str">
        <f t="shared" si="13"/>
        <v>Unknown</v>
      </c>
      <c r="BN14" s="47">
        <f t="shared" si="14"/>
        <v>0</v>
      </c>
      <c r="BO14" s="47">
        <f t="shared" si="15"/>
        <v>0</v>
      </c>
      <c r="BP14" s="45"/>
      <c r="BQ14" s="45" t="str">
        <f t="shared" si="16"/>
        <v>DONEWIN INFORMATION TECHNOLOGY (SHANGHAI) CO., LTD.</v>
      </c>
      <c r="BR14" s="45" t="str">
        <f t="shared" si="17"/>
        <v>DONEWIN INFORMATION TECHNOLOGY (SHANGHAI) CO., LTD.</v>
      </c>
      <c r="BS14" s="45" t="str">
        <f t="shared" si="18"/>
        <v>CISCO CHINA COMPANY LIMITED</v>
      </c>
      <c r="BT14" s="45" t="str">
        <f t="shared" si="19"/>
        <v>SHANGHAI DIGITAL CHINA LIMITED COMPANY</v>
      </c>
      <c r="BU14" s="45"/>
      <c r="BV14" s="45" t="s">
        <v>257</v>
      </c>
      <c r="BW14" s="45" t="str">
        <f t="shared" si="20"/>
        <v>DONEWIN INFORMATION TECHNOLOGY (SHANGHAI) CO., LTD.</v>
      </c>
      <c r="BX14" s="45" t="s">
        <v>258</v>
      </c>
      <c r="BY14" s="45" t="str">
        <f t="shared" si="21"/>
        <v>IN01</v>
      </c>
      <c r="BZ14" s="45" t="s">
        <v>244</v>
      </c>
      <c r="CA14" s="45" t="s">
        <v>254</v>
      </c>
      <c r="CB14" s="45" t="s">
        <v>324</v>
      </c>
      <c r="CC14" s="45" t="str">
        <f t="shared" si="23"/>
        <v>Assignment Of Receivables</v>
      </c>
      <c r="CD14" s="45" t="s">
        <v>259</v>
      </c>
      <c r="CE14" s="45" t="str">
        <f t="shared" si="24"/>
        <v>CISCO CHINA COMPANY LIMITED</v>
      </c>
      <c r="CF14" s="45"/>
      <c r="CG14" s="45"/>
      <c r="CH14" s="45"/>
      <c r="CI14" s="45"/>
      <c r="CJ14" s="46">
        <f t="shared" si="25"/>
        <v>0</v>
      </c>
      <c r="CK14" s="45" t="str">
        <f t="shared" si="26"/>
        <v>Advance</v>
      </c>
      <c r="CL14" s="45">
        <f t="shared" si="27"/>
        <v>36</v>
      </c>
      <c r="CM14" s="45" t="str">
        <f t="shared" si="28"/>
        <v>Monthly</v>
      </c>
      <c r="CN14" s="45"/>
      <c r="CO14" s="46">
        <f t="shared" si="29"/>
        <v>3.2</v>
      </c>
      <c r="CP14" s="46" t="str">
        <f t="shared" si="30"/>
        <v>Unknown</v>
      </c>
      <c r="CQ14" s="45"/>
      <c r="CR14" s="45" t="s">
        <v>260</v>
      </c>
      <c r="CS14" s="45" t="s">
        <v>261</v>
      </c>
      <c r="CT14" s="46">
        <f t="shared" si="31"/>
        <v>6</v>
      </c>
    </row>
    <row r="15" spans="1:98" x14ac:dyDescent="0.35">
      <c r="A15" s="38" t="s">
        <v>325</v>
      </c>
      <c r="B15" s="39" t="s">
        <v>326</v>
      </c>
      <c r="C15" s="39" t="s">
        <v>244</v>
      </c>
      <c r="D15" s="39" t="s">
        <v>327</v>
      </c>
      <c r="E15" s="40" t="s">
        <v>294</v>
      </c>
      <c r="F15" s="40" t="s">
        <v>16</v>
      </c>
      <c r="G15" s="41">
        <v>19207072.48</v>
      </c>
      <c r="H15" s="40">
        <v>1</v>
      </c>
      <c r="I15" s="40" t="s">
        <v>328</v>
      </c>
      <c r="J15" s="40" t="s">
        <v>28</v>
      </c>
      <c r="K15" s="40" t="s">
        <v>329</v>
      </c>
      <c r="L15" s="40" t="s">
        <v>330</v>
      </c>
      <c r="M15" s="40"/>
      <c r="N15" s="42">
        <v>15</v>
      </c>
      <c r="O15" s="40">
        <v>36</v>
      </c>
      <c r="P15" s="40" t="s">
        <v>41</v>
      </c>
      <c r="Q15" s="40" t="s">
        <v>271</v>
      </c>
      <c r="R15" s="43">
        <v>0</v>
      </c>
      <c r="S15" s="44" t="s">
        <v>252</v>
      </c>
      <c r="T15" s="45" t="s">
        <v>253</v>
      </c>
      <c r="U15" s="45">
        <v>4.2300000000000004</v>
      </c>
      <c r="V15" s="46">
        <v>7</v>
      </c>
      <c r="W15" s="45" t="s">
        <v>253</v>
      </c>
      <c r="X15" s="46">
        <v>13</v>
      </c>
      <c r="Y15" s="45"/>
      <c r="Z15" s="45"/>
      <c r="AA15" s="45" t="s">
        <v>254</v>
      </c>
      <c r="AB15" s="45">
        <v>2.95</v>
      </c>
      <c r="AC15" s="47">
        <v>46016</v>
      </c>
      <c r="AD15" s="47">
        <v>46016</v>
      </c>
      <c r="AE15" s="45" t="s">
        <v>255</v>
      </c>
      <c r="AF15" s="45"/>
      <c r="AG15" s="45"/>
      <c r="AH15" s="48">
        <v>64173.1</v>
      </c>
      <c r="AI15" s="48">
        <v>80000</v>
      </c>
      <c r="AJ15" s="45"/>
      <c r="AK15" s="45"/>
      <c r="AL15" s="48">
        <v>200000</v>
      </c>
      <c r="AM15" s="45">
        <v>36</v>
      </c>
      <c r="AN15" s="48">
        <v>15000</v>
      </c>
      <c r="AO15" s="48"/>
      <c r="AP15" s="48"/>
      <c r="AQ15" s="48"/>
      <c r="AR15" s="48"/>
      <c r="AS15" s="48" t="s">
        <v>256</v>
      </c>
      <c r="AT15" s="48" t="s">
        <v>28</v>
      </c>
      <c r="AU15" s="45" t="str">
        <f t="shared" si="0"/>
        <v>CX104-7+L  - HEIDELBERG - Printing Machines Accessories</v>
      </c>
      <c r="AV15" s="45"/>
      <c r="AW15" s="45" t="str">
        <f t="shared" si="1"/>
        <v>HEIDELBERG GRAPHICS(BEIJING) COMPANY LIMITED GUANGZHOU BRANCH</v>
      </c>
      <c r="AX15" s="45">
        <f t="shared" si="2"/>
        <v>1</v>
      </c>
      <c r="AY15" s="45" t="str">
        <f t="shared" si="3"/>
        <v>CNY</v>
      </c>
      <c r="AZ15" s="48">
        <f t="shared" si="4"/>
        <v>19207072.48</v>
      </c>
      <c r="BA15" s="45"/>
      <c r="BB15" s="46">
        <f t="shared" si="5"/>
        <v>15</v>
      </c>
      <c r="BC15" s="45"/>
      <c r="BD15" s="46">
        <f t="shared" si="6"/>
        <v>0</v>
      </c>
      <c r="BE15" s="45">
        <f t="shared" si="7"/>
        <v>36</v>
      </c>
      <c r="BF15" s="45" t="str">
        <f t="shared" si="8"/>
        <v>Monthly</v>
      </c>
      <c r="BG15" s="45" t="str">
        <f t="shared" si="9"/>
        <v>Advance</v>
      </c>
      <c r="BH15" s="45"/>
      <c r="BI15" s="45"/>
      <c r="BJ15" s="45" t="str">
        <f t="shared" si="10"/>
        <v>Floating</v>
      </c>
      <c r="BK15" s="46">
        <f t="shared" si="11"/>
        <v>2.95</v>
      </c>
      <c r="BL15" s="45">
        <f t="shared" si="12"/>
        <v>4.2300000000000004</v>
      </c>
      <c r="BM15" s="46">
        <f t="shared" si="13"/>
        <v>7</v>
      </c>
      <c r="BN15" s="47">
        <f t="shared" si="14"/>
        <v>46016</v>
      </c>
      <c r="BO15" s="47">
        <f t="shared" si="15"/>
        <v>46016</v>
      </c>
      <c r="BP15" s="45"/>
      <c r="BQ15" s="45" t="str">
        <f t="shared" si="16"/>
        <v>DONGGUAN YUE MINGHUA PRINTING PACKAGING CO.,LTD.</v>
      </c>
      <c r="BR15" s="45" t="str">
        <f t="shared" si="17"/>
        <v>DONGGUAN YUE MINGHUA PRINTING PACKAGING CO.,LTD.</v>
      </c>
      <c r="BS15" s="45">
        <f t="shared" si="18"/>
        <v>0</v>
      </c>
      <c r="BT15" s="45" t="str">
        <f t="shared" si="19"/>
        <v>HEIDELBERG GRAPHICS(BEIJING) COMPANY LIMITED GUANGZHOU BRANCH</v>
      </c>
      <c r="BU15" s="45"/>
      <c r="BV15" s="45" t="s">
        <v>257</v>
      </c>
      <c r="BW15" s="45" t="str">
        <f t="shared" si="20"/>
        <v>DONGGUAN YUE MINGHUA PRINTING PACKAGING CO.,LTD.</v>
      </c>
      <c r="BX15" s="45" t="s">
        <v>258</v>
      </c>
      <c r="BY15" s="45" t="str">
        <f t="shared" si="21"/>
        <v>IN01</v>
      </c>
      <c r="BZ15" s="45" t="s">
        <v>244</v>
      </c>
      <c r="CA15" s="45" t="s">
        <v>254</v>
      </c>
      <c r="CB15" s="45" t="str">
        <f t="shared" si="22"/>
        <v>Finance Lease</v>
      </c>
      <c r="CC15" s="45" t="str">
        <f t="shared" si="23"/>
        <v>Direct lease</v>
      </c>
      <c r="CD15" s="45" t="s">
        <v>259</v>
      </c>
      <c r="CE15" s="45">
        <f t="shared" si="24"/>
        <v>0</v>
      </c>
      <c r="CF15" s="45"/>
      <c r="CG15" s="45"/>
      <c r="CH15" s="45"/>
      <c r="CI15" s="45"/>
      <c r="CJ15" s="46">
        <f t="shared" si="25"/>
        <v>15</v>
      </c>
      <c r="CK15" s="45" t="str">
        <f t="shared" si="26"/>
        <v>Advance</v>
      </c>
      <c r="CL15" s="45">
        <f t="shared" si="27"/>
        <v>36</v>
      </c>
      <c r="CM15" s="45" t="str">
        <f t="shared" si="28"/>
        <v>Monthly</v>
      </c>
      <c r="CN15" s="45"/>
      <c r="CO15" s="46">
        <f t="shared" si="29"/>
        <v>2.95</v>
      </c>
      <c r="CP15" s="46">
        <f t="shared" si="30"/>
        <v>7</v>
      </c>
      <c r="CQ15" s="45"/>
      <c r="CR15" s="45" t="s">
        <v>260</v>
      </c>
      <c r="CS15" s="45" t="s">
        <v>261</v>
      </c>
      <c r="CT15" s="46">
        <f t="shared" si="31"/>
        <v>13</v>
      </c>
    </row>
    <row r="16" spans="1:98" x14ac:dyDescent="0.35">
      <c r="A16" s="38" t="s">
        <v>325</v>
      </c>
      <c r="B16" s="39" t="s">
        <v>326</v>
      </c>
      <c r="C16" s="39" t="s">
        <v>244</v>
      </c>
      <c r="D16" s="39" t="s">
        <v>331</v>
      </c>
      <c r="E16" s="40" t="s">
        <v>294</v>
      </c>
      <c r="F16" s="40" t="s">
        <v>16</v>
      </c>
      <c r="G16" s="41">
        <v>17500000</v>
      </c>
      <c r="H16" s="40">
        <v>1</v>
      </c>
      <c r="I16" s="40" t="s">
        <v>328</v>
      </c>
      <c r="J16" s="40" t="s">
        <v>28</v>
      </c>
      <c r="K16" s="40" t="s">
        <v>329</v>
      </c>
      <c r="L16" s="40" t="s">
        <v>330</v>
      </c>
      <c r="M16" s="40"/>
      <c r="N16" s="42">
        <v>20</v>
      </c>
      <c r="O16" s="40">
        <v>48</v>
      </c>
      <c r="P16" s="40" t="s">
        <v>41</v>
      </c>
      <c r="Q16" s="40" t="s">
        <v>271</v>
      </c>
      <c r="R16" s="43">
        <v>0</v>
      </c>
      <c r="S16" s="44" t="s">
        <v>252</v>
      </c>
      <c r="T16" s="45" t="s">
        <v>253</v>
      </c>
      <c r="U16" s="45">
        <v>4.76</v>
      </c>
      <c r="V16" s="46">
        <v>7</v>
      </c>
      <c r="W16" s="45" t="s">
        <v>253</v>
      </c>
      <c r="X16" s="46">
        <v>13</v>
      </c>
      <c r="Y16" s="45"/>
      <c r="Z16" s="45"/>
      <c r="AA16" s="45" t="s">
        <v>254</v>
      </c>
      <c r="AB16" s="46">
        <v>3.1</v>
      </c>
      <c r="AC16" s="47">
        <v>46016</v>
      </c>
      <c r="AD16" s="47">
        <v>46016</v>
      </c>
      <c r="AE16" s="45" t="s">
        <v>255</v>
      </c>
      <c r="AF16" s="45"/>
      <c r="AG16" s="45"/>
      <c r="AH16" s="48">
        <v>57173.1</v>
      </c>
      <c r="AI16" s="48">
        <v>70000</v>
      </c>
      <c r="AJ16" s="48">
        <v>200000</v>
      </c>
      <c r="AK16" s="45"/>
      <c r="AL16" s="45"/>
      <c r="AM16" s="45">
        <v>48</v>
      </c>
      <c r="AN16" s="48">
        <v>20000</v>
      </c>
      <c r="AO16" s="48"/>
      <c r="AP16" s="48"/>
      <c r="AQ16" s="48"/>
      <c r="AR16" s="48"/>
      <c r="AS16" s="48" t="s">
        <v>256</v>
      </c>
      <c r="AT16" s="48" t="s">
        <v>28</v>
      </c>
      <c r="AU16" s="45" t="str">
        <f t="shared" si="0"/>
        <v>CX104-7+L  - HEIDELBERG - Printing Machines Accessories</v>
      </c>
      <c r="AV16" s="45"/>
      <c r="AW16" s="45" t="str">
        <f t="shared" si="1"/>
        <v>HEIDELBERG GRAPHICS(BEIJING) COMPANY LIMITED GUANGZHOU BRANCH</v>
      </c>
      <c r="AX16" s="45">
        <f t="shared" si="2"/>
        <v>1</v>
      </c>
      <c r="AY16" s="45" t="str">
        <f t="shared" si="3"/>
        <v>CNY</v>
      </c>
      <c r="AZ16" s="48">
        <f t="shared" si="4"/>
        <v>17500000</v>
      </c>
      <c r="BA16" s="45"/>
      <c r="BB16" s="46">
        <f t="shared" si="5"/>
        <v>20</v>
      </c>
      <c r="BC16" s="45"/>
      <c r="BD16" s="46">
        <f t="shared" si="6"/>
        <v>0</v>
      </c>
      <c r="BE16" s="45">
        <f t="shared" si="7"/>
        <v>48</v>
      </c>
      <c r="BF16" s="45" t="str">
        <f t="shared" si="8"/>
        <v>Monthly</v>
      </c>
      <c r="BG16" s="45" t="str">
        <f t="shared" si="9"/>
        <v>Advance</v>
      </c>
      <c r="BH16" s="45"/>
      <c r="BI16" s="45"/>
      <c r="BJ16" s="45" t="str">
        <f t="shared" si="10"/>
        <v>Floating</v>
      </c>
      <c r="BK16" s="46">
        <f t="shared" si="11"/>
        <v>3.1</v>
      </c>
      <c r="BL16" s="45">
        <f t="shared" si="12"/>
        <v>4.76</v>
      </c>
      <c r="BM16" s="46">
        <f t="shared" si="13"/>
        <v>7</v>
      </c>
      <c r="BN16" s="47">
        <f t="shared" si="14"/>
        <v>46016</v>
      </c>
      <c r="BO16" s="47">
        <f t="shared" si="15"/>
        <v>46016</v>
      </c>
      <c r="BP16" s="45"/>
      <c r="BQ16" s="45" t="str">
        <f t="shared" si="16"/>
        <v>DONGGUAN YUE MINGHUA PRINTING PACKAGING CO.,LTD.</v>
      </c>
      <c r="BR16" s="45" t="str">
        <f t="shared" si="17"/>
        <v>DONGGUAN YUE MINGHUA PRINTING PACKAGING CO.,LTD.</v>
      </c>
      <c r="BS16" s="45">
        <f t="shared" si="18"/>
        <v>0</v>
      </c>
      <c r="BT16" s="45" t="str">
        <f t="shared" si="19"/>
        <v>HEIDELBERG GRAPHICS(BEIJING) COMPANY LIMITED GUANGZHOU BRANCH</v>
      </c>
      <c r="BU16" s="45"/>
      <c r="BV16" s="45" t="s">
        <v>257</v>
      </c>
      <c r="BW16" s="45" t="str">
        <f t="shared" si="20"/>
        <v>DONGGUAN YUE MINGHUA PRINTING PACKAGING CO.,LTD.</v>
      </c>
      <c r="BX16" s="45" t="s">
        <v>258</v>
      </c>
      <c r="BY16" s="45" t="str">
        <f t="shared" si="21"/>
        <v>IN01</v>
      </c>
      <c r="BZ16" s="45" t="s">
        <v>244</v>
      </c>
      <c r="CA16" s="45" t="s">
        <v>254</v>
      </c>
      <c r="CB16" s="45" t="str">
        <f t="shared" si="22"/>
        <v>Finance Lease</v>
      </c>
      <c r="CC16" s="45" t="str">
        <f t="shared" si="23"/>
        <v>Direct lease</v>
      </c>
      <c r="CD16" s="45" t="s">
        <v>259</v>
      </c>
      <c r="CE16" s="45">
        <f t="shared" si="24"/>
        <v>0</v>
      </c>
      <c r="CF16" s="45"/>
      <c r="CG16" s="45"/>
      <c r="CH16" s="45"/>
      <c r="CI16" s="45"/>
      <c r="CJ16" s="46">
        <f t="shared" si="25"/>
        <v>20</v>
      </c>
      <c r="CK16" s="45" t="str">
        <f t="shared" si="26"/>
        <v>Advance</v>
      </c>
      <c r="CL16" s="45">
        <f t="shared" si="27"/>
        <v>48</v>
      </c>
      <c r="CM16" s="45" t="str">
        <f t="shared" si="28"/>
        <v>Monthly</v>
      </c>
      <c r="CN16" s="45"/>
      <c r="CO16" s="46">
        <f t="shared" si="29"/>
        <v>3.1</v>
      </c>
      <c r="CP16" s="46">
        <f t="shared" si="30"/>
        <v>7</v>
      </c>
      <c r="CQ16" s="45"/>
      <c r="CR16" s="45" t="s">
        <v>260</v>
      </c>
      <c r="CS16" s="45" t="s">
        <v>261</v>
      </c>
      <c r="CT16" s="46">
        <f t="shared" si="31"/>
        <v>13</v>
      </c>
    </row>
    <row r="17" spans="1:98" x14ac:dyDescent="0.35">
      <c r="A17" s="38" t="s">
        <v>325</v>
      </c>
      <c r="B17" s="39" t="s">
        <v>326</v>
      </c>
      <c r="C17" s="39" t="s">
        <v>244</v>
      </c>
      <c r="D17" s="39" t="s">
        <v>332</v>
      </c>
      <c r="E17" s="40" t="s">
        <v>333</v>
      </c>
      <c r="F17" s="40" t="s">
        <v>16</v>
      </c>
      <c r="G17" s="41">
        <v>10000</v>
      </c>
      <c r="H17" s="40">
        <v>1</v>
      </c>
      <c r="I17" s="40"/>
      <c r="J17" s="40" t="s">
        <v>28</v>
      </c>
      <c r="K17" s="40" t="s">
        <v>334</v>
      </c>
      <c r="L17" s="40" t="s">
        <v>249</v>
      </c>
      <c r="M17" s="40"/>
      <c r="N17" s="42">
        <v>0</v>
      </c>
      <c r="O17" s="40">
        <v>12</v>
      </c>
      <c r="P17" s="40" t="s">
        <v>41</v>
      </c>
      <c r="Q17" s="40" t="s">
        <v>271</v>
      </c>
      <c r="R17" s="43">
        <v>0</v>
      </c>
      <c r="S17" s="44" t="s">
        <v>252</v>
      </c>
      <c r="T17" s="45" t="s">
        <v>253</v>
      </c>
      <c r="U17" s="45">
        <v>4.13</v>
      </c>
      <c r="V17" s="46">
        <v>7</v>
      </c>
      <c r="W17" s="45" t="s">
        <v>253</v>
      </c>
      <c r="X17" s="46">
        <v>13</v>
      </c>
      <c r="Y17" s="45"/>
      <c r="Z17" s="45"/>
      <c r="AA17" s="45" t="s">
        <v>254</v>
      </c>
      <c r="AB17" s="46">
        <v>2.9</v>
      </c>
      <c r="AC17" s="47">
        <v>46034</v>
      </c>
      <c r="AD17" s="47">
        <v>46034</v>
      </c>
      <c r="AE17" s="45" t="s">
        <v>255</v>
      </c>
      <c r="AF17" s="45"/>
      <c r="AG17" s="45"/>
      <c r="AH17" s="45"/>
      <c r="AI17" s="45"/>
      <c r="AJ17" s="45"/>
      <c r="AK17" s="45"/>
      <c r="AL17" s="45"/>
      <c r="AM17" s="45">
        <v>12</v>
      </c>
      <c r="AN17" s="45"/>
      <c r="AO17" s="45"/>
      <c r="AP17" s="45"/>
      <c r="AQ17" s="45"/>
      <c r="AR17" s="45"/>
      <c r="AS17" s="45" t="s">
        <v>256</v>
      </c>
      <c r="AT17" s="45" t="s">
        <v>28</v>
      </c>
      <c r="AU17" s="45" t="str">
        <f t="shared" si="0"/>
        <v>CX-S 16  - Still - Other Warehouse Equipment</v>
      </c>
      <c r="AV17" s="45"/>
      <c r="AW17" s="45">
        <f t="shared" si="1"/>
        <v>0</v>
      </c>
      <c r="AX17" s="45">
        <f t="shared" si="2"/>
        <v>1</v>
      </c>
      <c r="AY17" s="45" t="str">
        <f t="shared" si="3"/>
        <v>CNY</v>
      </c>
      <c r="AZ17" s="48">
        <f t="shared" si="4"/>
        <v>10000</v>
      </c>
      <c r="BA17" s="45"/>
      <c r="BB17" s="46">
        <f t="shared" si="5"/>
        <v>0</v>
      </c>
      <c r="BC17" s="45"/>
      <c r="BD17" s="46">
        <f t="shared" si="6"/>
        <v>0</v>
      </c>
      <c r="BE17" s="45">
        <f t="shared" si="7"/>
        <v>12</v>
      </c>
      <c r="BF17" s="45" t="str">
        <f t="shared" si="8"/>
        <v>Monthly</v>
      </c>
      <c r="BG17" s="45" t="str">
        <f t="shared" si="9"/>
        <v>Advance</v>
      </c>
      <c r="BH17" s="45"/>
      <c r="BI17" s="45"/>
      <c r="BJ17" s="45" t="str">
        <f t="shared" si="10"/>
        <v>Floating</v>
      </c>
      <c r="BK17" s="46">
        <f t="shared" si="11"/>
        <v>2.9</v>
      </c>
      <c r="BL17" s="45">
        <f t="shared" si="12"/>
        <v>4.13</v>
      </c>
      <c r="BM17" s="46">
        <f t="shared" si="13"/>
        <v>7</v>
      </c>
      <c r="BN17" s="47">
        <f t="shared" si="14"/>
        <v>46034</v>
      </c>
      <c r="BO17" s="47">
        <f t="shared" si="15"/>
        <v>46034</v>
      </c>
      <c r="BP17" s="45"/>
      <c r="BQ17" s="45" t="str">
        <f t="shared" si="16"/>
        <v>SHANGHAI BAOLONG AUTOMOBILE TECHNOLOGY CO., LTD</v>
      </c>
      <c r="BR17" s="45" t="str">
        <f t="shared" si="17"/>
        <v>SHANGHAI BAOLONG AUTOMOBILE TECHNOLOGY CO., LTD</v>
      </c>
      <c r="BS17" s="45">
        <f t="shared" si="18"/>
        <v>0</v>
      </c>
      <c r="BT17" s="45">
        <f t="shared" si="19"/>
        <v>0</v>
      </c>
      <c r="BU17" s="45"/>
      <c r="BV17" s="45" t="s">
        <v>257</v>
      </c>
      <c r="BW17" s="45" t="str">
        <f t="shared" si="20"/>
        <v>SHANGHAI BAOLONG AUTOMOBILE TECHNOLOGY CO., LTD</v>
      </c>
      <c r="BX17" s="45" t="s">
        <v>258</v>
      </c>
      <c r="BY17" s="45" t="str">
        <f t="shared" si="21"/>
        <v>IN01</v>
      </c>
      <c r="BZ17" s="45" t="s">
        <v>244</v>
      </c>
      <c r="CA17" s="45" t="s">
        <v>254</v>
      </c>
      <c r="CB17" s="45" t="str">
        <f t="shared" si="22"/>
        <v>Finance Lease</v>
      </c>
      <c r="CC17" s="45" t="str">
        <f t="shared" si="23"/>
        <v>Direct lease</v>
      </c>
      <c r="CD17" s="45" t="s">
        <v>259</v>
      </c>
      <c r="CE17" s="45">
        <f t="shared" si="24"/>
        <v>0</v>
      </c>
      <c r="CF17" s="45"/>
      <c r="CG17" s="45"/>
      <c r="CH17" s="45"/>
      <c r="CI17" s="45"/>
      <c r="CJ17" s="46">
        <f t="shared" si="25"/>
        <v>0</v>
      </c>
      <c r="CK17" s="45" t="str">
        <f t="shared" si="26"/>
        <v>Advance</v>
      </c>
      <c r="CL17" s="45">
        <f t="shared" si="27"/>
        <v>12</v>
      </c>
      <c r="CM17" s="45" t="str">
        <f t="shared" si="28"/>
        <v>Monthly</v>
      </c>
      <c r="CN17" s="45"/>
      <c r="CO17" s="46">
        <f t="shared" si="29"/>
        <v>2.9</v>
      </c>
      <c r="CP17" s="46">
        <f t="shared" si="30"/>
        <v>7</v>
      </c>
      <c r="CQ17" s="45"/>
      <c r="CR17" s="45" t="s">
        <v>260</v>
      </c>
      <c r="CS17" s="45" t="s">
        <v>261</v>
      </c>
      <c r="CT17" s="46">
        <f t="shared" si="31"/>
        <v>13</v>
      </c>
    </row>
    <row r="18" spans="1:98" x14ac:dyDescent="0.35">
      <c r="A18" s="38" t="s">
        <v>325</v>
      </c>
      <c r="B18" s="39" t="s">
        <v>326</v>
      </c>
      <c r="C18" s="39" t="s">
        <v>244</v>
      </c>
      <c r="D18" s="39" t="s">
        <v>335</v>
      </c>
      <c r="E18" s="40" t="s">
        <v>333</v>
      </c>
      <c r="F18" s="40" t="s">
        <v>16</v>
      </c>
      <c r="G18" s="41">
        <v>10000</v>
      </c>
      <c r="H18" s="40">
        <v>1</v>
      </c>
      <c r="I18" s="40"/>
      <c r="J18" s="40" t="s">
        <v>28</v>
      </c>
      <c r="K18" s="40" t="s">
        <v>334</v>
      </c>
      <c r="L18" s="40" t="s">
        <v>249</v>
      </c>
      <c r="M18" s="40"/>
      <c r="N18" s="42">
        <v>0</v>
      </c>
      <c r="O18" s="40">
        <v>12</v>
      </c>
      <c r="P18" s="40" t="s">
        <v>41</v>
      </c>
      <c r="Q18" s="40" t="s">
        <v>271</v>
      </c>
      <c r="R18" s="43">
        <v>0</v>
      </c>
      <c r="S18" s="44" t="s">
        <v>252</v>
      </c>
      <c r="T18" s="45" t="s">
        <v>253</v>
      </c>
      <c r="U18" s="45">
        <v>4.13</v>
      </c>
      <c r="V18" s="46">
        <v>7</v>
      </c>
      <c r="W18" s="45" t="s">
        <v>253</v>
      </c>
      <c r="X18" s="46">
        <v>13</v>
      </c>
      <c r="Y18" s="45"/>
      <c r="Z18" s="45"/>
      <c r="AA18" s="45" t="s">
        <v>254</v>
      </c>
      <c r="AB18" s="46">
        <v>2.9</v>
      </c>
      <c r="AC18" s="47">
        <v>46034</v>
      </c>
      <c r="AD18" s="47">
        <v>46034</v>
      </c>
      <c r="AE18" s="45" t="s">
        <v>255</v>
      </c>
      <c r="AF18" s="45"/>
      <c r="AG18" s="45"/>
      <c r="AH18" s="45"/>
      <c r="AI18" s="45"/>
      <c r="AJ18" s="45"/>
      <c r="AK18" s="45"/>
      <c r="AL18" s="45"/>
      <c r="AM18" s="45">
        <v>12</v>
      </c>
      <c r="AN18" s="45"/>
      <c r="AO18" s="45"/>
      <c r="AP18" s="45"/>
      <c r="AQ18" s="45"/>
      <c r="AR18" s="45"/>
      <c r="AS18" s="45" t="s">
        <v>256</v>
      </c>
      <c r="AT18" s="45" t="s">
        <v>28</v>
      </c>
      <c r="AU18" s="45" t="str">
        <f t="shared" si="0"/>
        <v>CX-S 16  - Still - Other Warehouse Equipment</v>
      </c>
      <c r="AV18" s="45"/>
      <c r="AW18" s="45">
        <f t="shared" si="1"/>
        <v>0</v>
      </c>
      <c r="AX18" s="45">
        <f t="shared" si="2"/>
        <v>1</v>
      </c>
      <c r="AY18" s="45" t="str">
        <f t="shared" si="3"/>
        <v>CNY</v>
      </c>
      <c r="AZ18" s="48">
        <f t="shared" si="4"/>
        <v>10000</v>
      </c>
      <c r="BA18" s="45"/>
      <c r="BB18" s="46">
        <f t="shared" si="5"/>
        <v>0</v>
      </c>
      <c r="BC18" s="45"/>
      <c r="BD18" s="46">
        <f t="shared" si="6"/>
        <v>0</v>
      </c>
      <c r="BE18" s="45">
        <f t="shared" si="7"/>
        <v>12</v>
      </c>
      <c r="BF18" s="45" t="str">
        <f t="shared" si="8"/>
        <v>Monthly</v>
      </c>
      <c r="BG18" s="45" t="str">
        <f t="shared" si="9"/>
        <v>Advance</v>
      </c>
      <c r="BH18" s="45"/>
      <c r="BI18" s="45"/>
      <c r="BJ18" s="45" t="str">
        <f t="shared" si="10"/>
        <v>Floating</v>
      </c>
      <c r="BK18" s="46">
        <f t="shared" si="11"/>
        <v>2.9</v>
      </c>
      <c r="BL18" s="45">
        <f t="shared" si="12"/>
        <v>4.13</v>
      </c>
      <c r="BM18" s="46">
        <f t="shared" si="13"/>
        <v>7</v>
      </c>
      <c r="BN18" s="47">
        <f t="shared" si="14"/>
        <v>46034</v>
      </c>
      <c r="BO18" s="47">
        <f t="shared" si="15"/>
        <v>46034</v>
      </c>
      <c r="BP18" s="45"/>
      <c r="BQ18" s="45" t="str">
        <f t="shared" si="16"/>
        <v>SHANGHAI BAOLONG AUTOMOBILE TECHNOLOGY CO., LTD</v>
      </c>
      <c r="BR18" s="45" t="str">
        <f t="shared" si="17"/>
        <v>SHANGHAI BAOLONG AUTOMOBILE TECHNOLOGY CO., LTD</v>
      </c>
      <c r="BS18" s="45">
        <f t="shared" si="18"/>
        <v>0</v>
      </c>
      <c r="BT18" s="45">
        <f t="shared" si="19"/>
        <v>0</v>
      </c>
      <c r="BU18" s="45"/>
      <c r="BV18" s="45" t="s">
        <v>257</v>
      </c>
      <c r="BW18" s="45" t="str">
        <f t="shared" si="20"/>
        <v>SHANGHAI BAOLONG AUTOMOBILE TECHNOLOGY CO., LTD</v>
      </c>
      <c r="BX18" s="45" t="s">
        <v>258</v>
      </c>
      <c r="BY18" s="45" t="str">
        <f t="shared" si="21"/>
        <v>IN01</v>
      </c>
      <c r="BZ18" s="45" t="s">
        <v>244</v>
      </c>
      <c r="CA18" s="45" t="s">
        <v>254</v>
      </c>
      <c r="CB18" s="45" t="str">
        <f t="shared" si="22"/>
        <v>Finance Lease</v>
      </c>
      <c r="CC18" s="45" t="str">
        <f t="shared" si="23"/>
        <v>Direct lease</v>
      </c>
      <c r="CD18" s="45" t="s">
        <v>259</v>
      </c>
      <c r="CE18" s="45">
        <f t="shared" si="24"/>
        <v>0</v>
      </c>
      <c r="CF18" s="45"/>
      <c r="CG18" s="45"/>
      <c r="CH18" s="45"/>
      <c r="CI18" s="45"/>
      <c r="CJ18" s="46">
        <f t="shared" si="25"/>
        <v>0</v>
      </c>
      <c r="CK18" s="45" t="str">
        <f t="shared" si="26"/>
        <v>Advance</v>
      </c>
      <c r="CL18" s="45">
        <f t="shared" si="27"/>
        <v>12</v>
      </c>
      <c r="CM18" s="45" t="str">
        <f t="shared" si="28"/>
        <v>Monthly</v>
      </c>
      <c r="CN18" s="45"/>
      <c r="CO18" s="46">
        <f t="shared" si="29"/>
        <v>2.9</v>
      </c>
      <c r="CP18" s="46">
        <f t="shared" si="30"/>
        <v>7</v>
      </c>
      <c r="CQ18" s="45"/>
      <c r="CR18" s="45" t="s">
        <v>260</v>
      </c>
      <c r="CS18" s="45" t="s">
        <v>261</v>
      </c>
      <c r="CT18" s="46">
        <f t="shared" si="31"/>
        <v>13</v>
      </c>
    </row>
    <row r="19" spans="1:98" x14ac:dyDescent="0.35">
      <c r="A19" s="38" t="s">
        <v>325</v>
      </c>
      <c r="B19" s="39" t="s">
        <v>326</v>
      </c>
      <c r="C19" s="39" t="s">
        <v>244</v>
      </c>
      <c r="D19" s="39" t="s">
        <v>336</v>
      </c>
      <c r="E19" s="40" t="s">
        <v>333</v>
      </c>
      <c r="F19" s="40" t="s">
        <v>16</v>
      </c>
      <c r="G19" s="41">
        <v>10000</v>
      </c>
      <c r="H19" s="40">
        <v>1</v>
      </c>
      <c r="I19" s="40"/>
      <c r="J19" s="40" t="s">
        <v>28</v>
      </c>
      <c r="K19" s="40" t="s">
        <v>334</v>
      </c>
      <c r="L19" s="40" t="s">
        <v>249</v>
      </c>
      <c r="M19" s="40"/>
      <c r="N19" s="42">
        <v>0</v>
      </c>
      <c r="O19" s="40">
        <v>12</v>
      </c>
      <c r="P19" s="40" t="s">
        <v>41</v>
      </c>
      <c r="Q19" s="40" t="s">
        <v>271</v>
      </c>
      <c r="R19" s="43">
        <v>0</v>
      </c>
      <c r="S19" s="44" t="s">
        <v>252</v>
      </c>
      <c r="T19" s="45" t="s">
        <v>253</v>
      </c>
      <c r="U19" s="45">
        <v>4.13</v>
      </c>
      <c r="V19" s="46">
        <v>7</v>
      </c>
      <c r="W19" s="45" t="s">
        <v>253</v>
      </c>
      <c r="X19" s="46">
        <v>13</v>
      </c>
      <c r="Y19" s="45"/>
      <c r="Z19" s="45"/>
      <c r="AA19" s="45" t="s">
        <v>254</v>
      </c>
      <c r="AB19" s="46">
        <v>2.9</v>
      </c>
      <c r="AC19" s="47">
        <v>46034</v>
      </c>
      <c r="AD19" s="47">
        <v>46034</v>
      </c>
      <c r="AE19" s="45" t="s">
        <v>255</v>
      </c>
      <c r="AF19" s="45"/>
      <c r="AG19" s="45"/>
      <c r="AH19" s="45"/>
      <c r="AI19" s="45"/>
      <c r="AJ19" s="45"/>
      <c r="AK19" s="45"/>
      <c r="AL19" s="45"/>
      <c r="AM19" s="45">
        <v>12</v>
      </c>
      <c r="AN19" s="45"/>
      <c r="AO19" s="45"/>
      <c r="AP19" s="45"/>
      <c r="AQ19" s="45"/>
      <c r="AR19" s="45"/>
      <c r="AS19" s="45" t="s">
        <v>256</v>
      </c>
      <c r="AT19" s="45" t="s">
        <v>28</v>
      </c>
      <c r="AU19" s="45" t="str">
        <f t="shared" si="0"/>
        <v>CX-S 16  - Still - Other Warehouse Equipment</v>
      </c>
      <c r="AV19" s="45"/>
      <c r="AW19" s="45">
        <f t="shared" si="1"/>
        <v>0</v>
      </c>
      <c r="AX19" s="45">
        <f t="shared" si="2"/>
        <v>1</v>
      </c>
      <c r="AY19" s="45" t="str">
        <f t="shared" si="3"/>
        <v>CNY</v>
      </c>
      <c r="AZ19" s="48">
        <f t="shared" si="4"/>
        <v>10000</v>
      </c>
      <c r="BA19" s="45"/>
      <c r="BB19" s="46">
        <f t="shared" si="5"/>
        <v>0</v>
      </c>
      <c r="BC19" s="45"/>
      <c r="BD19" s="46">
        <f t="shared" si="6"/>
        <v>0</v>
      </c>
      <c r="BE19" s="45">
        <f t="shared" si="7"/>
        <v>12</v>
      </c>
      <c r="BF19" s="45" t="str">
        <f t="shared" si="8"/>
        <v>Monthly</v>
      </c>
      <c r="BG19" s="45" t="str">
        <f t="shared" si="9"/>
        <v>Advance</v>
      </c>
      <c r="BH19" s="45"/>
      <c r="BI19" s="45"/>
      <c r="BJ19" s="45" t="str">
        <f t="shared" si="10"/>
        <v>Floating</v>
      </c>
      <c r="BK19" s="46">
        <f t="shared" si="11"/>
        <v>2.9</v>
      </c>
      <c r="BL19" s="45">
        <f t="shared" si="12"/>
        <v>4.13</v>
      </c>
      <c r="BM19" s="46">
        <f t="shared" si="13"/>
        <v>7</v>
      </c>
      <c r="BN19" s="47">
        <f t="shared" si="14"/>
        <v>46034</v>
      </c>
      <c r="BO19" s="47">
        <f t="shared" si="15"/>
        <v>46034</v>
      </c>
      <c r="BP19" s="45"/>
      <c r="BQ19" s="45" t="str">
        <f t="shared" si="16"/>
        <v>SHANGHAI BAOLONG AUTOMOBILE TECHNOLOGY CO., LTD</v>
      </c>
      <c r="BR19" s="45" t="str">
        <f t="shared" si="17"/>
        <v>SHANGHAI BAOLONG AUTOMOBILE TECHNOLOGY CO., LTD</v>
      </c>
      <c r="BS19" s="45">
        <f t="shared" si="18"/>
        <v>0</v>
      </c>
      <c r="BT19" s="45">
        <f t="shared" si="19"/>
        <v>0</v>
      </c>
      <c r="BU19" s="45"/>
      <c r="BV19" s="45" t="s">
        <v>257</v>
      </c>
      <c r="BW19" s="45" t="str">
        <f t="shared" si="20"/>
        <v>SHANGHAI BAOLONG AUTOMOBILE TECHNOLOGY CO., LTD</v>
      </c>
      <c r="BX19" s="45" t="s">
        <v>258</v>
      </c>
      <c r="BY19" s="45" t="str">
        <f t="shared" si="21"/>
        <v>IN01</v>
      </c>
      <c r="BZ19" s="45" t="s">
        <v>244</v>
      </c>
      <c r="CA19" s="45" t="s">
        <v>254</v>
      </c>
      <c r="CB19" s="45" t="str">
        <f t="shared" si="22"/>
        <v>Finance Lease</v>
      </c>
      <c r="CC19" s="45" t="str">
        <f t="shared" si="23"/>
        <v>Direct lease</v>
      </c>
      <c r="CD19" s="45" t="s">
        <v>259</v>
      </c>
      <c r="CE19" s="45">
        <f t="shared" si="24"/>
        <v>0</v>
      </c>
      <c r="CF19" s="45"/>
      <c r="CG19" s="45"/>
      <c r="CH19" s="45"/>
      <c r="CI19" s="45"/>
      <c r="CJ19" s="46">
        <f t="shared" si="25"/>
        <v>0</v>
      </c>
      <c r="CK19" s="45" t="str">
        <f t="shared" si="26"/>
        <v>Advance</v>
      </c>
      <c r="CL19" s="45">
        <f t="shared" si="27"/>
        <v>12</v>
      </c>
      <c r="CM19" s="45" t="str">
        <f t="shared" si="28"/>
        <v>Monthly</v>
      </c>
      <c r="CN19" s="45"/>
      <c r="CO19" s="46">
        <f t="shared" si="29"/>
        <v>2.9</v>
      </c>
      <c r="CP19" s="46">
        <f t="shared" si="30"/>
        <v>7</v>
      </c>
      <c r="CQ19" s="45"/>
      <c r="CR19" s="45" t="s">
        <v>260</v>
      </c>
      <c r="CS19" s="45" t="s">
        <v>261</v>
      </c>
      <c r="CT19" s="46">
        <f t="shared" si="31"/>
        <v>13</v>
      </c>
    </row>
    <row r="20" spans="1:98" x14ac:dyDescent="0.35">
      <c r="A20" s="38" t="s">
        <v>337</v>
      </c>
      <c r="B20" s="39" t="s">
        <v>338</v>
      </c>
      <c r="C20" s="39" t="s">
        <v>244</v>
      </c>
      <c r="D20" s="39" t="s">
        <v>339</v>
      </c>
      <c r="E20" s="40" t="s">
        <v>246</v>
      </c>
      <c r="F20" s="40" t="s">
        <v>16</v>
      </c>
      <c r="G20" s="41">
        <v>17000000</v>
      </c>
      <c r="H20" s="40">
        <v>1</v>
      </c>
      <c r="I20" s="40" t="s">
        <v>340</v>
      </c>
      <c r="J20" s="40" t="s">
        <v>265</v>
      </c>
      <c r="K20" s="40" t="s">
        <v>341</v>
      </c>
      <c r="L20" s="40" t="s">
        <v>249</v>
      </c>
      <c r="M20" s="40"/>
      <c r="N20" s="42">
        <v>20</v>
      </c>
      <c r="O20" s="40">
        <v>36</v>
      </c>
      <c r="P20" s="40" t="s">
        <v>342</v>
      </c>
      <c r="Q20" s="40" t="s">
        <v>271</v>
      </c>
      <c r="R20" s="43">
        <v>0</v>
      </c>
      <c r="S20" s="44" t="s">
        <v>252</v>
      </c>
      <c r="T20" s="45" t="s">
        <v>253</v>
      </c>
      <c r="U20" s="45">
        <v>1.28</v>
      </c>
      <c r="V20" s="45">
        <v>4.3499999999999996</v>
      </c>
      <c r="W20" s="45" t="s">
        <v>253</v>
      </c>
      <c r="X20" s="46">
        <v>6</v>
      </c>
      <c r="Y20" s="45"/>
      <c r="Z20" s="45"/>
      <c r="AA20" s="45" t="s">
        <v>254</v>
      </c>
      <c r="AB20" s="45">
        <v>2.95</v>
      </c>
      <c r="AC20" s="47">
        <v>46027</v>
      </c>
      <c r="AD20" s="47">
        <v>46027</v>
      </c>
      <c r="AE20" s="45" t="s">
        <v>255</v>
      </c>
      <c r="AF20" s="45"/>
      <c r="AG20" s="45"/>
      <c r="AH20" s="45"/>
      <c r="AI20" s="45"/>
      <c r="AJ20" s="45"/>
      <c r="AK20" s="45"/>
      <c r="AL20" s="45"/>
      <c r="AM20" s="45"/>
      <c r="AN20" s="48">
        <v>22950</v>
      </c>
      <c r="AO20" s="48"/>
      <c r="AP20" s="48"/>
      <c r="AQ20" s="48"/>
      <c r="AR20" s="48"/>
      <c r="AS20" s="48" t="s">
        <v>256</v>
      </c>
      <c r="AT20" s="48" t="s">
        <v>266</v>
      </c>
      <c r="AU20" s="45" t="str">
        <f t="shared" si="0"/>
        <v>TruLaser Weld 5000 Basic Edition  - TRUMPF - Metal Machine Tools</v>
      </c>
      <c r="AV20" s="45"/>
      <c r="AW20" s="45" t="str">
        <f t="shared" si="1"/>
        <v xml:space="preserve">BHS Corrugated MACHINERY(Shanghai) Co., Ltd. </v>
      </c>
      <c r="AX20" s="45">
        <f t="shared" si="2"/>
        <v>1</v>
      </c>
      <c r="AY20" s="45" t="str">
        <f t="shared" si="3"/>
        <v>CNY</v>
      </c>
      <c r="AZ20" s="48">
        <f t="shared" si="4"/>
        <v>17000000</v>
      </c>
      <c r="BA20" s="45"/>
      <c r="BB20" s="46">
        <f t="shared" si="5"/>
        <v>20</v>
      </c>
      <c r="BC20" s="45"/>
      <c r="BD20" s="46">
        <f t="shared" si="6"/>
        <v>0</v>
      </c>
      <c r="BE20" s="45">
        <f t="shared" si="7"/>
        <v>36</v>
      </c>
      <c r="BF20" s="45" t="str">
        <f t="shared" si="8"/>
        <v>Quaterly</v>
      </c>
      <c r="BG20" s="45" t="str">
        <f t="shared" si="9"/>
        <v>Advance</v>
      </c>
      <c r="BH20" s="45"/>
      <c r="BI20" s="45"/>
      <c r="BJ20" s="45" t="str">
        <f t="shared" si="10"/>
        <v>Floating</v>
      </c>
      <c r="BK20" s="46">
        <f t="shared" si="11"/>
        <v>2.95</v>
      </c>
      <c r="BL20" s="45">
        <f t="shared" si="12"/>
        <v>1.28</v>
      </c>
      <c r="BM20" s="46">
        <f t="shared" si="13"/>
        <v>4.3499999999999996</v>
      </c>
      <c r="BN20" s="47">
        <f t="shared" si="14"/>
        <v>46027</v>
      </c>
      <c r="BO20" s="47">
        <f t="shared" si="15"/>
        <v>46027</v>
      </c>
      <c r="BP20" s="45"/>
      <c r="BQ20" s="45" t="str">
        <f t="shared" si="16"/>
        <v>HARBIN SHENGHE PACKAGING PRODUCTS CO., LTD</v>
      </c>
      <c r="BR20" s="45" t="str">
        <f t="shared" si="17"/>
        <v>HARBIN SHENGHE PACKAGING PRODUCTS CO., LTD</v>
      </c>
      <c r="BS20" s="45">
        <f t="shared" si="18"/>
        <v>0</v>
      </c>
      <c r="BT20" s="45" t="str">
        <f t="shared" si="19"/>
        <v xml:space="preserve">BHS Corrugated MACHINERY(Shanghai) Co., Ltd. </v>
      </c>
      <c r="BU20" s="45"/>
      <c r="BV20" s="45" t="s">
        <v>257</v>
      </c>
      <c r="BW20" s="45" t="str">
        <f t="shared" si="20"/>
        <v>HARBIN SHENGHE PACKAGING PRODUCTS CO., LTD</v>
      </c>
      <c r="BX20" s="45" t="s">
        <v>258</v>
      </c>
      <c r="BY20" s="45" t="str">
        <f t="shared" si="21"/>
        <v>IN01</v>
      </c>
      <c r="BZ20" s="45" t="s">
        <v>244</v>
      </c>
      <c r="CA20" s="45" t="s">
        <v>254</v>
      </c>
      <c r="CB20" s="45" t="str">
        <f t="shared" si="22"/>
        <v>Finance Lease</v>
      </c>
      <c r="CC20" s="45" t="str">
        <f t="shared" si="23"/>
        <v>Sale and Leaseback</v>
      </c>
      <c r="CD20" s="45" t="s">
        <v>259</v>
      </c>
      <c r="CE20" s="45">
        <f t="shared" si="24"/>
        <v>0</v>
      </c>
      <c r="CF20" s="45"/>
      <c r="CG20" s="45"/>
      <c r="CH20" s="45"/>
      <c r="CI20" s="45"/>
      <c r="CJ20" s="46">
        <f t="shared" si="25"/>
        <v>20</v>
      </c>
      <c r="CK20" s="45" t="str">
        <f t="shared" si="26"/>
        <v>Advance</v>
      </c>
      <c r="CL20" s="45">
        <f t="shared" si="27"/>
        <v>36</v>
      </c>
      <c r="CM20" s="45" t="str">
        <f t="shared" si="28"/>
        <v>Quaterly</v>
      </c>
      <c r="CN20" s="45"/>
      <c r="CO20" s="46">
        <f t="shared" si="29"/>
        <v>2.95</v>
      </c>
      <c r="CP20" s="46">
        <f t="shared" si="30"/>
        <v>4.3499999999999996</v>
      </c>
      <c r="CQ20" s="45"/>
      <c r="CR20" s="45" t="s">
        <v>260</v>
      </c>
      <c r="CS20" s="45" t="s">
        <v>261</v>
      </c>
      <c r="CT20" s="46">
        <f t="shared" si="31"/>
        <v>6</v>
      </c>
    </row>
    <row r="21" spans="1:98" x14ac:dyDescent="0.35">
      <c r="A21" s="38" t="s">
        <v>337</v>
      </c>
      <c r="B21" s="39" t="s">
        <v>338</v>
      </c>
      <c r="C21" s="39" t="s">
        <v>244</v>
      </c>
      <c r="D21" s="39" t="s">
        <v>343</v>
      </c>
      <c r="E21" s="40" t="s">
        <v>344</v>
      </c>
      <c r="F21" s="40" t="s">
        <v>16</v>
      </c>
      <c r="G21" s="41">
        <v>1000</v>
      </c>
      <c r="H21" s="40">
        <v>1</v>
      </c>
      <c r="I21" s="40"/>
      <c r="J21" s="40" t="s">
        <v>265</v>
      </c>
      <c r="K21" s="40" t="s">
        <v>345</v>
      </c>
      <c r="L21" s="40" t="s">
        <v>249</v>
      </c>
      <c r="M21" s="40"/>
      <c r="N21" s="42">
        <v>0</v>
      </c>
      <c r="O21" s="40">
        <v>12</v>
      </c>
      <c r="P21" s="40" t="s">
        <v>41</v>
      </c>
      <c r="Q21" s="40" t="s">
        <v>271</v>
      </c>
      <c r="R21" s="43">
        <v>0</v>
      </c>
      <c r="S21" s="44" t="s">
        <v>252</v>
      </c>
      <c r="T21" s="45" t="s">
        <v>253</v>
      </c>
      <c r="U21" s="45">
        <v>5.45</v>
      </c>
      <c r="V21" s="45">
        <v>8.34</v>
      </c>
      <c r="W21" s="45" t="s">
        <v>253</v>
      </c>
      <c r="X21" s="46">
        <v>6</v>
      </c>
      <c r="Y21" s="45"/>
      <c r="Z21" s="45"/>
      <c r="AA21" s="45" t="s">
        <v>254</v>
      </c>
      <c r="AB21" s="46">
        <v>2.9</v>
      </c>
      <c r="AC21" s="47">
        <v>45972</v>
      </c>
      <c r="AD21" s="47">
        <v>46002</v>
      </c>
      <c r="AE21" s="45" t="s">
        <v>255</v>
      </c>
      <c r="AF21" s="45"/>
      <c r="AG21" s="45"/>
      <c r="AH21" s="45"/>
      <c r="AI21" s="45"/>
      <c r="AJ21" s="45"/>
      <c r="AK21" s="45"/>
      <c r="AL21" s="45"/>
      <c r="AM21" s="45">
        <v>12</v>
      </c>
      <c r="AN21" s="45"/>
      <c r="AO21" s="45"/>
      <c r="AP21" s="45"/>
      <c r="AQ21" s="45"/>
      <c r="AR21" s="45"/>
      <c r="AS21" s="45" t="s">
        <v>256</v>
      </c>
      <c r="AT21" s="45" t="s">
        <v>266</v>
      </c>
      <c r="AU21" s="45" t="str">
        <f t="shared" si="0"/>
        <v>SOFTWARE-CISCO  - CISCO - IT Software: Non-Subscription</v>
      </c>
      <c r="AV21" s="45"/>
      <c r="AW21" s="45">
        <f t="shared" si="1"/>
        <v>0</v>
      </c>
      <c r="AX21" s="45">
        <f t="shared" si="2"/>
        <v>1</v>
      </c>
      <c r="AY21" s="45" t="str">
        <f t="shared" si="3"/>
        <v>CNY</v>
      </c>
      <c r="AZ21" s="48">
        <f t="shared" si="4"/>
        <v>1000</v>
      </c>
      <c r="BA21" s="45"/>
      <c r="BB21" s="46">
        <f t="shared" si="5"/>
        <v>0</v>
      </c>
      <c r="BC21" s="45"/>
      <c r="BD21" s="46">
        <f t="shared" si="6"/>
        <v>0</v>
      </c>
      <c r="BE21" s="45">
        <f t="shared" si="7"/>
        <v>12</v>
      </c>
      <c r="BF21" s="45" t="str">
        <f t="shared" si="8"/>
        <v>Monthly</v>
      </c>
      <c r="BG21" s="45" t="str">
        <f t="shared" si="9"/>
        <v>Advance</v>
      </c>
      <c r="BH21" s="45"/>
      <c r="BI21" s="45"/>
      <c r="BJ21" s="45" t="str">
        <f t="shared" si="10"/>
        <v>Floating</v>
      </c>
      <c r="BK21" s="46">
        <f t="shared" si="11"/>
        <v>2.9</v>
      </c>
      <c r="BL21" s="45">
        <f t="shared" si="12"/>
        <v>5.45</v>
      </c>
      <c r="BM21" s="46">
        <f t="shared" si="13"/>
        <v>8.34</v>
      </c>
      <c r="BN21" s="47">
        <f t="shared" si="14"/>
        <v>45972</v>
      </c>
      <c r="BO21" s="47">
        <f t="shared" si="15"/>
        <v>46002</v>
      </c>
      <c r="BP21" s="45"/>
      <c r="BQ21" s="45" t="str">
        <f t="shared" si="16"/>
        <v>BEIJING AIPUHAIDE PRINTING CO.,LTD.</v>
      </c>
      <c r="BR21" s="45" t="str">
        <f t="shared" si="17"/>
        <v>BEIJING AIPUHAIDE PRINTING CO.,LTD.</v>
      </c>
      <c r="BS21" s="45">
        <f t="shared" si="18"/>
        <v>0</v>
      </c>
      <c r="BT21" s="45">
        <f t="shared" si="19"/>
        <v>0</v>
      </c>
      <c r="BU21" s="45"/>
      <c r="BV21" s="45" t="s">
        <v>257</v>
      </c>
      <c r="BW21" s="45" t="str">
        <f t="shared" si="20"/>
        <v>BEIJING AIPUHAIDE PRINTING CO.,LTD.</v>
      </c>
      <c r="BX21" s="45" t="s">
        <v>258</v>
      </c>
      <c r="BY21" s="45" t="str">
        <f t="shared" si="21"/>
        <v>IN01</v>
      </c>
      <c r="BZ21" s="45" t="s">
        <v>244</v>
      </c>
      <c r="CA21" s="45" t="s">
        <v>254</v>
      </c>
      <c r="CB21" s="45" t="str">
        <f t="shared" si="22"/>
        <v>Finance Lease</v>
      </c>
      <c r="CC21" s="45" t="str">
        <f t="shared" si="23"/>
        <v>Sale and Leaseback</v>
      </c>
      <c r="CD21" s="45" t="s">
        <v>259</v>
      </c>
      <c r="CE21" s="45">
        <f t="shared" si="24"/>
        <v>0</v>
      </c>
      <c r="CF21" s="45"/>
      <c r="CG21" s="45"/>
      <c r="CH21" s="45"/>
      <c r="CI21" s="45"/>
      <c r="CJ21" s="46">
        <f t="shared" si="25"/>
        <v>0</v>
      </c>
      <c r="CK21" s="45" t="str">
        <f t="shared" si="26"/>
        <v>Advance</v>
      </c>
      <c r="CL21" s="45">
        <f t="shared" si="27"/>
        <v>12</v>
      </c>
      <c r="CM21" s="45" t="str">
        <f t="shared" si="28"/>
        <v>Monthly</v>
      </c>
      <c r="CN21" s="45"/>
      <c r="CO21" s="46">
        <f t="shared" si="29"/>
        <v>2.9</v>
      </c>
      <c r="CP21" s="46">
        <f t="shared" si="30"/>
        <v>8.34</v>
      </c>
      <c r="CQ21" s="45"/>
      <c r="CR21" s="45" t="s">
        <v>260</v>
      </c>
      <c r="CS21" s="45" t="s">
        <v>261</v>
      </c>
      <c r="CT21" s="46">
        <f t="shared" si="31"/>
        <v>6</v>
      </c>
    </row>
    <row r="22" spans="1:98" x14ac:dyDescent="0.35">
      <c r="A22" s="38" t="s">
        <v>346</v>
      </c>
      <c r="B22" s="39" t="s">
        <v>347</v>
      </c>
      <c r="C22" s="39" t="s">
        <v>244</v>
      </c>
      <c r="D22" s="39" t="s">
        <v>348</v>
      </c>
      <c r="E22" s="40" t="s">
        <v>246</v>
      </c>
      <c r="F22" s="40" t="s">
        <v>16</v>
      </c>
      <c r="G22" s="41">
        <v>2750000</v>
      </c>
      <c r="H22" s="40">
        <v>1</v>
      </c>
      <c r="I22" s="40" t="s">
        <v>247</v>
      </c>
      <c r="J22" s="40" t="s">
        <v>265</v>
      </c>
      <c r="K22" s="40" t="s">
        <v>248</v>
      </c>
      <c r="L22" s="40" t="s">
        <v>249</v>
      </c>
      <c r="M22" s="40" t="s">
        <v>349</v>
      </c>
      <c r="N22" s="42">
        <v>30</v>
      </c>
      <c r="O22" s="40">
        <v>24</v>
      </c>
      <c r="P22" s="40" t="s">
        <v>41</v>
      </c>
      <c r="Q22" s="40" t="s">
        <v>251</v>
      </c>
      <c r="R22" s="43">
        <v>0</v>
      </c>
      <c r="S22" s="44" t="s">
        <v>252</v>
      </c>
      <c r="T22" s="45" t="s">
        <v>253</v>
      </c>
      <c r="U22" s="45">
        <v>3.85</v>
      </c>
      <c r="V22" s="46">
        <v>0</v>
      </c>
      <c r="W22" s="45" t="s">
        <v>253</v>
      </c>
      <c r="X22" s="46">
        <v>6</v>
      </c>
      <c r="Y22" s="45"/>
      <c r="Z22" s="45"/>
      <c r="AA22" s="45" t="s">
        <v>254</v>
      </c>
      <c r="AB22" s="46">
        <v>3.1</v>
      </c>
      <c r="AC22" s="47">
        <v>46064</v>
      </c>
      <c r="AD22" s="47">
        <v>46064</v>
      </c>
      <c r="AE22" s="45" t="s">
        <v>255</v>
      </c>
      <c r="AF22" s="45"/>
      <c r="AG22" s="45"/>
      <c r="AH22" s="45"/>
      <c r="AI22" s="48">
        <v>18160.38</v>
      </c>
      <c r="AJ22" s="48">
        <v>103661.25</v>
      </c>
      <c r="AK22" s="45"/>
      <c r="AL22" s="45"/>
      <c r="AM22" s="45">
        <v>24</v>
      </c>
      <c r="AN22" s="45"/>
      <c r="AO22" s="45"/>
      <c r="AP22" s="45"/>
      <c r="AQ22" s="45"/>
      <c r="AR22" s="45"/>
      <c r="AS22" s="45" t="s">
        <v>256</v>
      </c>
      <c r="AT22" s="45" t="s">
        <v>266</v>
      </c>
      <c r="AU22" s="45" t="str">
        <f t="shared" si="0"/>
        <v>TruLaser Weld 5000 Basic Edition  - TRUMPF - Metal Machine Tools</v>
      </c>
      <c r="AV22" s="45"/>
      <c r="AW22" s="45" t="str">
        <f t="shared" si="1"/>
        <v>TRUMPF (CHINA) CO., LTD.</v>
      </c>
      <c r="AX22" s="45">
        <f t="shared" si="2"/>
        <v>1</v>
      </c>
      <c r="AY22" s="45" t="str">
        <f t="shared" si="3"/>
        <v>CNY</v>
      </c>
      <c r="AZ22" s="48">
        <f t="shared" si="4"/>
        <v>2750000</v>
      </c>
      <c r="BA22" s="45"/>
      <c r="BB22" s="46">
        <f t="shared" si="5"/>
        <v>30</v>
      </c>
      <c r="BC22" s="45"/>
      <c r="BD22" s="46">
        <f t="shared" si="6"/>
        <v>0</v>
      </c>
      <c r="BE22" s="45">
        <f t="shared" si="7"/>
        <v>24</v>
      </c>
      <c r="BF22" s="45" t="str">
        <f t="shared" si="8"/>
        <v>Monthly</v>
      </c>
      <c r="BG22" s="45" t="str">
        <f t="shared" si="9"/>
        <v>Advance</v>
      </c>
      <c r="BH22" s="45"/>
      <c r="BI22" s="45"/>
      <c r="BJ22" s="45" t="str">
        <f t="shared" si="10"/>
        <v>Fixed</v>
      </c>
      <c r="BK22" s="46">
        <f t="shared" si="11"/>
        <v>3.1</v>
      </c>
      <c r="BL22" s="45">
        <f t="shared" si="12"/>
        <v>3.85</v>
      </c>
      <c r="BM22" s="46">
        <f t="shared" si="13"/>
        <v>0</v>
      </c>
      <c r="BN22" s="47">
        <f t="shared" si="14"/>
        <v>46064</v>
      </c>
      <c r="BO22" s="47">
        <f t="shared" si="15"/>
        <v>46064</v>
      </c>
      <c r="BP22" s="45"/>
      <c r="BQ22" s="45" t="str">
        <f t="shared" si="16"/>
        <v>NAILI CO.,LTD.</v>
      </c>
      <c r="BR22" s="45" t="str">
        <f t="shared" si="17"/>
        <v>NAILI CO.,LTD.</v>
      </c>
      <c r="BS22" s="45" t="str">
        <f t="shared" si="18"/>
        <v>TRUMPF (CHINA) CO., LTD</v>
      </c>
      <c r="BT22" s="45" t="str">
        <f t="shared" si="19"/>
        <v>TRUMPF (CHINA) CO., LTD.</v>
      </c>
      <c r="BU22" s="45"/>
      <c r="BV22" s="45" t="s">
        <v>257</v>
      </c>
      <c r="BW22" s="45" t="str">
        <f t="shared" si="20"/>
        <v>NAILI CO.,LTD.</v>
      </c>
      <c r="BX22" s="45" t="s">
        <v>258</v>
      </c>
      <c r="BY22" s="45" t="str">
        <f t="shared" si="21"/>
        <v>IN01</v>
      </c>
      <c r="BZ22" s="45" t="s">
        <v>244</v>
      </c>
      <c r="CA22" s="45" t="s">
        <v>254</v>
      </c>
      <c r="CB22" s="45" t="str">
        <f t="shared" si="22"/>
        <v>Finance Lease</v>
      </c>
      <c r="CC22" s="45" t="str">
        <f t="shared" si="23"/>
        <v>Sale and Leaseback</v>
      </c>
      <c r="CD22" s="45" t="s">
        <v>259</v>
      </c>
      <c r="CE22" s="45" t="str">
        <f t="shared" si="24"/>
        <v>TRUMPF (CHINA) CO., LTD</v>
      </c>
      <c r="CF22" s="45"/>
      <c r="CG22" s="45"/>
      <c r="CH22" s="45"/>
      <c r="CI22" s="45"/>
      <c r="CJ22" s="46">
        <f t="shared" si="25"/>
        <v>30</v>
      </c>
      <c r="CK22" s="45" t="str">
        <f t="shared" si="26"/>
        <v>Advance</v>
      </c>
      <c r="CL22" s="45">
        <f t="shared" si="27"/>
        <v>24</v>
      </c>
      <c r="CM22" s="45" t="str">
        <f t="shared" si="28"/>
        <v>Monthly</v>
      </c>
      <c r="CN22" s="45"/>
      <c r="CO22" s="46">
        <f t="shared" si="29"/>
        <v>3.1</v>
      </c>
      <c r="CP22" s="46">
        <f t="shared" si="30"/>
        <v>0</v>
      </c>
      <c r="CQ22" s="45"/>
      <c r="CR22" s="45" t="s">
        <v>260</v>
      </c>
      <c r="CS22" s="45" t="s">
        <v>261</v>
      </c>
      <c r="CT22" s="46">
        <f t="shared" si="31"/>
        <v>6</v>
      </c>
    </row>
    <row r="23" spans="1:98" x14ac:dyDescent="0.35">
      <c r="A23" s="38" t="s">
        <v>350</v>
      </c>
      <c r="B23" s="39" t="s">
        <v>351</v>
      </c>
      <c r="C23" s="39" t="s">
        <v>244</v>
      </c>
      <c r="D23" s="39" t="s">
        <v>352</v>
      </c>
      <c r="E23" s="40" t="s">
        <v>333</v>
      </c>
      <c r="F23" s="40" t="s">
        <v>16</v>
      </c>
      <c r="G23" s="41">
        <v>10000</v>
      </c>
      <c r="H23" s="40">
        <v>1</v>
      </c>
      <c r="I23" s="40"/>
      <c r="J23" s="40" t="s">
        <v>28</v>
      </c>
      <c r="K23" s="40" t="s">
        <v>334</v>
      </c>
      <c r="L23" s="40" t="s">
        <v>249</v>
      </c>
      <c r="M23" s="40" t="s">
        <v>247</v>
      </c>
      <c r="N23" s="42">
        <v>10</v>
      </c>
      <c r="O23" s="40">
        <v>12</v>
      </c>
      <c r="P23" s="40" t="s">
        <v>41</v>
      </c>
      <c r="Q23" s="40" t="s">
        <v>271</v>
      </c>
      <c r="R23" s="43">
        <v>0</v>
      </c>
      <c r="S23" s="44" t="s">
        <v>252</v>
      </c>
      <c r="T23" s="45" t="s">
        <v>253</v>
      </c>
      <c r="U23" s="45">
        <v>6.43</v>
      </c>
      <c r="V23" s="46">
        <v>7</v>
      </c>
      <c r="W23" s="45" t="s">
        <v>253</v>
      </c>
      <c r="X23" s="46">
        <v>13</v>
      </c>
      <c r="Y23" s="45"/>
      <c r="Z23" s="45"/>
      <c r="AA23" s="45" t="s">
        <v>254</v>
      </c>
      <c r="AB23" s="46">
        <v>2.9</v>
      </c>
      <c r="AC23" s="47">
        <v>46065</v>
      </c>
      <c r="AD23" s="47">
        <v>46065</v>
      </c>
      <c r="AE23" s="45" t="s">
        <v>255</v>
      </c>
      <c r="AF23" s="45"/>
      <c r="AG23" s="45"/>
      <c r="AH23" s="46">
        <v>20</v>
      </c>
      <c r="AI23" s="46">
        <v>100</v>
      </c>
      <c r="AJ23" s="45"/>
      <c r="AK23" s="45"/>
      <c r="AL23" s="45"/>
      <c r="AM23" s="45">
        <v>12</v>
      </c>
      <c r="AN23" s="45"/>
      <c r="AO23" s="45"/>
      <c r="AP23" s="45"/>
      <c r="AQ23" s="45"/>
      <c r="AR23" s="45"/>
      <c r="AS23" s="45" t="s">
        <v>256</v>
      </c>
      <c r="AT23" s="45" t="s">
        <v>28</v>
      </c>
      <c r="AU23" s="45" t="str">
        <f t="shared" si="0"/>
        <v>CX-S 16  - Still - Other Warehouse Equipment</v>
      </c>
      <c r="AV23" s="45"/>
      <c r="AW23" s="45">
        <f t="shared" si="1"/>
        <v>0</v>
      </c>
      <c r="AX23" s="45">
        <f t="shared" si="2"/>
        <v>1</v>
      </c>
      <c r="AY23" s="45" t="str">
        <f t="shared" si="3"/>
        <v>CNY</v>
      </c>
      <c r="AZ23" s="48">
        <f t="shared" si="4"/>
        <v>10000</v>
      </c>
      <c r="BA23" s="45"/>
      <c r="BB23" s="46">
        <f t="shared" si="5"/>
        <v>10</v>
      </c>
      <c r="BC23" s="45"/>
      <c r="BD23" s="46">
        <f t="shared" si="6"/>
        <v>0</v>
      </c>
      <c r="BE23" s="45">
        <f t="shared" si="7"/>
        <v>12</v>
      </c>
      <c r="BF23" s="45" t="str">
        <f t="shared" si="8"/>
        <v>Monthly</v>
      </c>
      <c r="BG23" s="45" t="str">
        <f t="shared" si="9"/>
        <v>Advance</v>
      </c>
      <c r="BH23" s="45"/>
      <c r="BI23" s="45"/>
      <c r="BJ23" s="45" t="str">
        <f t="shared" si="10"/>
        <v>Floating</v>
      </c>
      <c r="BK23" s="46">
        <f t="shared" si="11"/>
        <v>2.9</v>
      </c>
      <c r="BL23" s="45">
        <f t="shared" si="12"/>
        <v>6.43</v>
      </c>
      <c r="BM23" s="46">
        <f t="shared" si="13"/>
        <v>7</v>
      </c>
      <c r="BN23" s="47">
        <f t="shared" si="14"/>
        <v>46065</v>
      </c>
      <c r="BO23" s="47">
        <f t="shared" si="15"/>
        <v>46065</v>
      </c>
      <c r="BP23" s="45"/>
      <c r="BQ23" s="45" t="str">
        <f t="shared" si="16"/>
        <v>SHANGHAI BAOLONG AUTOMOBILE TECHNOLOGY CO., LTD</v>
      </c>
      <c r="BR23" s="45" t="str">
        <f t="shared" si="17"/>
        <v>SHANGHAI BAOLONG AUTOMOBILE TECHNOLOGY CO., LTD</v>
      </c>
      <c r="BS23" s="45" t="str">
        <f t="shared" si="18"/>
        <v>TRUMPF (CHINA) CO., LTD.</v>
      </c>
      <c r="BT23" s="45">
        <f t="shared" si="19"/>
        <v>0</v>
      </c>
      <c r="BU23" s="45"/>
      <c r="BV23" s="45" t="s">
        <v>257</v>
      </c>
      <c r="BW23" s="45" t="str">
        <f t="shared" si="20"/>
        <v>SHANGHAI BAOLONG AUTOMOBILE TECHNOLOGY CO., LTD</v>
      </c>
      <c r="BX23" s="45" t="s">
        <v>258</v>
      </c>
      <c r="BY23" s="45" t="str">
        <f t="shared" si="21"/>
        <v>IN01</v>
      </c>
      <c r="BZ23" s="45" t="s">
        <v>244</v>
      </c>
      <c r="CA23" s="45" t="s">
        <v>254</v>
      </c>
      <c r="CB23" s="45" t="str">
        <f t="shared" si="22"/>
        <v>Finance Lease</v>
      </c>
      <c r="CC23" s="45" t="str">
        <f t="shared" si="23"/>
        <v>Direct lease</v>
      </c>
      <c r="CD23" s="45" t="s">
        <v>259</v>
      </c>
      <c r="CE23" s="45" t="str">
        <f t="shared" si="24"/>
        <v>TRUMPF (CHINA) CO., LTD.</v>
      </c>
      <c r="CF23" s="45"/>
      <c r="CG23" s="45"/>
      <c r="CH23" s="45"/>
      <c r="CI23" s="45"/>
      <c r="CJ23" s="46">
        <f t="shared" si="25"/>
        <v>10</v>
      </c>
      <c r="CK23" s="45" t="str">
        <f t="shared" si="26"/>
        <v>Advance</v>
      </c>
      <c r="CL23" s="45">
        <f t="shared" si="27"/>
        <v>12</v>
      </c>
      <c r="CM23" s="45" t="str">
        <f t="shared" si="28"/>
        <v>Monthly</v>
      </c>
      <c r="CN23" s="45"/>
      <c r="CO23" s="46">
        <f t="shared" si="29"/>
        <v>2.9</v>
      </c>
      <c r="CP23" s="46">
        <f t="shared" si="30"/>
        <v>7</v>
      </c>
      <c r="CQ23" s="45"/>
      <c r="CR23" s="45" t="s">
        <v>260</v>
      </c>
      <c r="CS23" s="45" t="s">
        <v>261</v>
      </c>
      <c r="CT23" s="46">
        <f t="shared" si="31"/>
        <v>13</v>
      </c>
    </row>
    <row r="24" spans="1:98" ht="42" customHeight="1" x14ac:dyDescent="0.35">
      <c r="A24" s="38" t="s">
        <v>353</v>
      </c>
      <c r="B24" s="39" t="s">
        <v>354</v>
      </c>
      <c r="C24" s="39" t="s">
        <v>244</v>
      </c>
      <c r="D24" s="39" t="s">
        <v>355</v>
      </c>
      <c r="E24" s="40" t="s">
        <v>246</v>
      </c>
      <c r="F24" s="40" t="s">
        <v>16</v>
      </c>
      <c r="G24" s="41">
        <v>2750000</v>
      </c>
      <c r="H24" s="40">
        <v>1</v>
      </c>
      <c r="I24" s="40" t="s">
        <v>247</v>
      </c>
      <c r="J24" s="40" t="s">
        <v>265</v>
      </c>
      <c r="K24" s="40" t="s">
        <v>248</v>
      </c>
      <c r="L24" s="40" t="s">
        <v>249</v>
      </c>
      <c r="M24" s="40" t="s">
        <v>349</v>
      </c>
      <c r="N24" s="42">
        <v>30</v>
      </c>
      <c r="O24" s="40">
        <v>24</v>
      </c>
      <c r="P24" s="40" t="s">
        <v>41</v>
      </c>
      <c r="Q24" s="40" t="s">
        <v>251</v>
      </c>
      <c r="R24" s="43">
        <v>0</v>
      </c>
      <c r="S24" s="44" t="s">
        <v>252</v>
      </c>
      <c r="T24" s="45" t="s">
        <v>253</v>
      </c>
      <c r="U24" s="45">
        <v>4.79</v>
      </c>
      <c r="V24" s="45">
        <v>8.84</v>
      </c>
      <c r="W24" s="45" t="s">
        <v>253</v>
      </c>
      <c r="X24" s="46">
        <v>6</v>
      </c>
      <c r="Y24" s="45"/>
      <c r="Z24" s="45"/>
      <c r="AA24" s="45" t="s">
        <v>254</v>
      </c>
      <c r="AB24" s="46">
        <v>3.1</v>
      </c>
      <c r="AC24" s="47">
        <v>46064</v>
      </c>
      <c r="AD24" s="47">
        <v>46064</v>
      </c>
      <c r="AE24" s="45" t="s">
        <v>255</v>
      </c>
      <c r="AF24" s="45" t="s">
        <v>356</v>
      </c>
      <c r="AG24" s="45"/>
      <c r="AH24" s="45"/>
      <c r="AI24" s="46">
        <v>0</v>
      </c>
      <c r="AJ24" s="46">
        <v>0</v>
      </c>
      <c r="AK24" s="45"/>
      <c r="AL24" s="45"/>
      <c r="AM24" s="45">
        <v>24</v>
      </c>
      <c r="AN24" s="45"/>
      <c r="AO24" s="50" t="s">
        <v>357</v>
      </c>
      <c r="AP24" s="50" t="s">
        <v>358</v>
      </c>
      <c r="AQ24" s="50" t="s">
        <v>359</v>
      </c>
      <c r="AR24" s="51" t="s">
        <v>360</v>
      </c>
      <c r="AS24" s="51" t="s">
        <v>256</v>
      </c>
      <c r="AT24" s="51" t="s">
        <v>266</v>
      </c>
      <c r="AU24" s="45" t="str">
        <f t="shared" si="0"/>
        <v>TruLaser Weld 5000 Basic Edition  - TRUMPF - Metal Machine Tools</v>
      </c>
      <c r="AV24" s="45"/>
      <c r="AW24" s="45" t="str">
        <f t="shared" si="1"/>
        <v>TRUMPF (CHINA) CO., LTD.</v>
      </c>
      <c r="AX24" s="45">
        <f t="shared" si="2"/>
        <v>1</v>
      </c>
      <c r="AY24" s="45" t="str">
        <f t="shared" si="3"/>
        <v>CNY</v>
      </c>
      <c r="AZ24" s="48">
        <f t="shared" si="4"/>
        <v>2750000</v>
      </c>
      <c r="BA24" s="45"/>
      <c r="BB24" s="46">
        <f t="shared" si="5"/>
        <v>30</v>
      </c>
      <c r="BC24" s="45"/>
      <c r="BD24" s="46">
        <f t="shared" si="6"/>
        <v>0</v>
      </c>
      <c r="BE24" s="45">
        <f t="shared" si="7"/>
        <v>24</v>
      </c>
      <c r="BF24" s="45" t="str">
        <f t="shared" si="8"/>
        <v>Monthly</v>
      </c>
      <c r="BG24" s="45" t="str">
        <f t="shared" si="9"/>
        <v>Advance</v>
      </c>
      <c r="BH24" s="45"/>
      <c r="BI24" s="45"/>
      <c r="BJ24" s="45" t="str">
        <f t="shared" si="10"/>
        <v>Fixed</v>
      </c>
      <c r="BK24" s="46">
        <f t="shared" si="11"/>
        <v>3.1</v>
      </c>
      <c r="BL24" s="45">
        <f t="shared" si="12"/>
        <v>4.79</v>
      </c>
      <c r="BM24" s="46">
        <f t="shared" si="13"/>
        <v>8.84</v>
      </c>
      <c r="BN24" s="47">
        <f t="shared" si="14"/>
        <v>46064</v>
      </c>
      <c r="BO24" s="47">
        <f t="shared" si="15"/>
        <v>46064</v>
      </c>
      <c r="BP24" s="45"/>
      <c r="BQ24" s="45" t="str">
        <f t="shared" si="16"/>
        <v>NAILI CO.,LTD.</v>
      </c>
      <c r="BR24" s="45" t="str">
        <f t="shared" si="17"/>
        <v>NAILI CO.,LTD.</v>
      </c>
      <c r="BS24" s="45" t="str">
        <f t="shared" si="18"/>
        <v>TRUMPF (CHINA) CO., LTD</v>
      </c>
      <c r="BT24" s="45" t="str">
        <f t="shared" si="19"/>
        <v>TRUMPF (CHINA) CO., LTD.</v>
      </c>
      <c r="BU24" s="45"/>
      <c r="BV24" s="45" t="s">
        <v>257</v>
      </c>
      <c r="BW24" s="45" t="str">
        <f t="shared" si="20"/>
        <v>NAILI CO.,LTD.</v>
      </c>
      <c r="BX24" s="45" t="s">
        <v>258</v>
      </c>
      <c r="BY24" s="45" t="str">
        <f t="shared" si="21"/>
        <v>IN01</v>
      </c>
      <c r="BZ24" s="45" t="s">
        <v>244</v>
      </c>
      <c r="CA24" s="45" t="s">
        <v>254</v>
      </c>
      <c r="CB24" s="45" t="str">
        <f t="shared" si="22"/>
        <v>Finance Lease</v>
      </c>
      <c r="CC24" s="45" t="str">
        <f t="shared" si="23"/>
        <v>Sale and Leaseback</v>
      </c>
      <c r="CD24" s="45" t="s">
        <v>259</v>
      </c>
      <c r="CE24" s="45" t="str">
        <f t="shared" si="24"/>
        <v>TRUMPF (CHINA) CO., LTD</v>
      </c>
      <c r="CF24" s="45"/>
      <c r="CG24" s="45"/>
      <c r="CH24" s="45"/>
      <c r="CI24" s="45"/>
      <c r="CJ24" s="46">
        <f t="shared" si="25"/>
        <v>30</v>
      </c>
      <c r="CK24" s="45" t="str">
        <f t="shared" si="26"/>
        <v>Advance</v>
      </c>
      <c r="CL24" s="45">
        <f t="shared" si="27"/>
        <v>24</v>
      </c>
      <c r="CM24" s="45" t="str">
        <f t="shared" si="28"/>
        <v>Monthly</v>
      </c>
      <c r="CN24" s="45"/>
      <c r="CO24" s="46">
        <f t="shared" si="29"/>
        <v>3.1</v>
      </c>
      <c r="CP24" s="46">
        <f t="shared" si="30"/>
        <v>8.84</v>
      </c>
      <c r="CQ24" s="45"/>
      <c r="CR24" s="45" t="s">
        <v>260</v>
      </c>
      <c r="CS24" s="45" t="s">
        <v>261</v>
      </c>
      <c r="CT24" s="46">
        <f t="shared" si="31"/>
        <v>6</v>
      </c>
    </row>
    <row r="25" spans="1:98" ht="63" customHeight="1" x14ac:dyDescent="0.35">
      <c r="A25" s="38" t="s">
        <v>361</v>
      </c>
      <c r="B25" s="39" t="s">
        <v>362</v>
      </c>
      <c r="C25" s="39" t="s">
        <v>244</v>
      </c>
      <c r="D25" s="39" t="s">
        <v>363</v>
      </c>
      <c r="E25" s="40" t="s">
        <v>333</v>
      </c>
      <c r="F25" s="40" t="s">
        <v>16</v>
      </c>
      <c r="G25" s="41">
        <v>10000</v>
      </c>
      <c r="H25" s="40">
        <v>1</v>
      </c>
      <c r="I25" s="40"/>
      <c r="J25" s="40" t="s">
        <v>28</v>
      </c>
      <c r="K25" s="40" t="s">
        <v>334</v>
      </c>
      <c r="L25" s="40" t="s">
        <v>249</v>
      </c>
      <c r="M25" s="40" t="s">
        <v>247</v>
      </c>
      <c r="N25" s="42">
        <v>10</v>
      </c>
      <c r="O25" s="40">
        <v>12</v>
      </c>
      <c r="P25" s="40" t="s">
        <v>41</v>
      </c>
      <c r="Q25" s="40" t="s">
        <v>271</v>
      </c>
      <c r="R25" s="43">
        <v>0</v>
      </c>
      <c r="S25" s="44" t="s">
        <v>252</v>
      </c>
      <c r="T25" s="45" t="s">
        <v>253</v>
      </c>
      <c r="U25" s="45">
        <v>5.54</v>
      </c>
      <c r="V25" s="46">
        <v>7</v>
      </c>
      <c r="W25" s="45" t="s">
        <v>253</v>
      </c>
      <c r="X25" s="46">
        <v>13</v>
      </c>
      <c r="Y25" s="45"/>
      <c r="Z25" s="45"/>
      <c r="AA25" s="45" t="s">
        <v>254</v>
      </c>
      <c r="AB25" s="46">
        <v>2.9</v>
      </c>
      <c r="AC25" s="47">
        <v>46065</v>
      </c>
      <c r="AD25" s="47">
        <v>46065</v>
      </c>
      <c r="AE25" s="45" t="s">
        <v>255</v>
      </c>
      <c r="AF25" s="45" t="s">
        <v>356</v>
      </c>
      <c r="AG25" s="45"/>
      <c r="AH25" s="46">
        <v>20</v>
      </c>
      <c r="AI25" s="46">
        <v>100</v>
      </c>
      <c r="AJ25" s="45"/>
      <c r="AK25" s="45"/>
      <c r="AL25" s="45"/>
      <c r="AM25" s="45">
        <v>12</v>
      </c>
      <c r="AN25" s="45"/>
      <c r="AO25" s="50" t="s">
        <v>364</v>
      </c>
      <c r="AP25" s="50" t="s">
        <v>365</v>
      </c>
      <c r="AQ25" s="50" t="s">
        <v>366</v>
      </c>
      <c r="AR25" s="50" t="s">
        <v>367</v>
      </c>
      <c r="AS25" s="50" t="s">
        <v>256</v>
      </c>
      <c r="AT25" s="50" t="s">
        <v>28</v>
      </c>
      <c r="AU25" s="45" t="str">
        <f t="shared" si="0"/>
        <v>CX-S 16  - Still - Other Warehouse Equipment</v>
      </c>
      <c r="AV25" s="45"/>
      <c r="AW25" s="45">
        <f t="shared" si="1"/>
        <v>0</v>
      </c>
      <c r="AX25" s="45">
        <f t="shared" si="2"/>
        <v>1</v>
      </c>
      <c r="AY25" s="45" t="str">
        <f t="shared" si="3"/>
        <v>CNY</v>
      </c>
      <c r="AZ25" s="48">
        <f t="shared" si="4"/>
        <v>10000</v>
      </c>
      <c r="BA25" s="45"/>
      <c r="BB25" s="46">
        <f t="shared" si="5"/>
        <v>10</v>
      </c>
      <c r="BC25" s="45"/>
      <c r="BD25" s="46">
        <f t="shared" si="6"/>
        <v>0</v>
      </c>
      <c r="BE25" s="45">
        <f t="shared" si="7"/>
        <v>12</v>
      </c>
      <c r="BF25" s="45" t="str">
        <f t="shared" si="8"/>
        <v>Monthly</v>
      </c>
      <c r="BG25" s="45" t="str">
        <f t="shared" si="9"/>
        <v>Advance</v>
      </c>
      <c r="BH25" s="45"/>
      <c r="BI25" s="45"/>
      <c r="BJ25" s="45" t="str">
        <f t="shared" si="10"/>
        <v>Floating</v>
      </c>
      <c r="BK25" s="46">
        <f t="shared" si="11"/>
        <v>2.9</v>
      </c>
      <c r="BL25" s="45">
        <f t="shared" si="12"/>
        <v>5.54</v>
      </c>
      <c r="BM25" s="46">
        <f t="shared" si="13"/>
        <v>7</v>
      </c>
      <c r="BN25" s="47">
        <f t="shared" si="14"/>
        <v>46065</v>
      </c>
      <c r="BO25" s="47">
        <f t="shared" si="15"/>
        <v>46065</v>
      </c>
      <c r="BP25" s="45"/>
      <c r="BQ25" s="45" t="str">
        <f t="shared" si="16"/>
        <v>SHANGHAI BAOLONG AUTOMOBILE TECHNOLOGY CO., LTD</v>
      </c>
      <c r="BR25" s="45" t="str">
        <f t="shared" si="17"/>
        <v>SHANGHAI BAOLONG AUTOMOBILE TECHNOLOGY CO., LTD</v>
      </c>
      <c r="BS25" s="45" t="str">
        <f t="shared" si="18"/>
        <v>TRUMPF (CHINA) CO., LTD.</v>
      </c>
      <c r="BT25" s="45">
        <f t="shared" si="19"/>
        <v>0</v>
      </c>
      <c r="BU25" s="45"/>
      <c r="BV25" s="45" t="s">
        <v>257</v>
      </c>
      <c r="BW25" s="45" t="str">
        <f t="shared" si="20"/>
        <v>SHANGHAI BAOLONG AUTOMOBILE TECHNOLOGY CO., LTD</v>
      </c>
      <c r="BX25" s="45" t="s">
        <v>258</v>
      </c>
      <c r="BY25" s="45" t="str">
        <f t="shared" si="21"/>
        <v>IN01</v>
      </c>
      <c r="BZ25" s="45" t="s">
        <v>244</v>
      </c>
      <c r="CA25" s="45" t="s">
        <v>254</v>
      </c>
      <c r="CB25" s="45" t="str">
        <f t="shared" si="22"/>
        <v>Finance Lease</v>
      </c>
      <c r="CC25" s="45" t="str">
        <f t="shared" si="23"/>
        <v>Direct lease</v>
      </c>
      <c r="CD25" s="45" t="s">
        <v>259</v>
      </c>
      <c r="CE25" s="45" t="str">
        <f t="shared" si="24"/>
        <v>TRUMPF (CHINA) CO., LTD.</v>
      </c>
      <c r="CF25" s="45"/>
      <c r="CG25" s="45"/>
      <c r="CH25" s="45"/>
      <c r="CI25" s="45"/>
      <c r="CJ25" s="46">
        <f t="shared" si="25"/>
        <v>10</v>
      </c>
      <c r="CK25" s="45" t="str">
        <f t="shared" si="26"/>
        <v>Advance</v>
      </c>
      <c r="CL25" s="45">
        <f t="shared" si="27"/>
        <v>12</v>
      </c>
      <c r="CM25" s="45" t="str">
        <f t="shared" si="28"/>
        <v>Monthly</v>
      </c>
      <c r="CN25" s="45"/>
      <c r="CO25" s="46">
        <f t="shared" si="29"/>
        <v>2.9</v>
      </c>
      <c r="CP25" s="46">
        <f t="shared" si="30"/>
        <v>7</v>
      </c>
      <c r="CQ25" s="45"/>
      <c r="CR25" s="45" t="s">
        <v>260</v>
      </c>
      <c r="CS25" s="45" t="s">
        <v>261</v>
      </c>
      <c r="CT25" s="46">
        <f t="shared" si="31"/>
        <v>13</v>
      </c>
    </row>
    <row r="26" spans="1:98" ht="101.5" x14ac:dyDescent="0.35">
      <c r="A26" s="38" t="s">
        <v>368</v>
      </c>
      <c r="B26" s="39" t="s">
        <v>369</v>
      </c>
      <c r="C26" s="39" t="s">
        <v>244</v>
      </c>
      <c r="D26" s="39" t="s">
        <v>370</v>
      </c>
      <c r="E26" s="40" t="s">
        <v>310</v>
      </c>
      <c r="F26" s="40" t="s">
        <v>311</v>
      </c>
      <c r="G26" s="41">
        <v>10220375</v>
      </c>
      <c r="H26" s="40">
        <v>1</v>
      </c>
      <c r="I26" s="40" t="s">
        <v>312</v>
      </c>
      <c r="J26" s="40" t="s">
        <v>313</v>
      </c>
      <c r="K26" s="40" t="s">
        <v>334</v>
      </c>
      <c r="L26" s="40" t="s">
        <v>249</v>
      </c>
      <c r="M26" s="40" t="s">
        <v>371</v>
      </c>
      <c r="N26" s="42">
        <v>0</v>
      </c>
      <c r="O26" s="40">
        <v>36</v>
      </c>
      <c r="P26" s="40" t="s">
        <v>41</v>
      </c>
      <c r="Q26" s="40" t="s">
        <v>251</v>
      </c>
      <c r="R26" s="43"/>
      <c r="S26" s="44" t="s">
        <v>252</v>
      </c>
      <c r="T26" s="45"/>
      <c r="U26" s="45">
        <v>8.84</v>
      </c>
      <c r="V26" s="45" t="s">
        <v>316</v>
      </c>
      <c r="W26" s="45" t="s">
        <v>253</v>
      </c>
      <c r="X26" s="46">
        <v>6</v>
      </c>
      <c r="Y26" s="45"/>
      <c r="Z26" s="45"/>
      <c r="AA26" s="45" t="s">
        <v>254</v>
      </c>
      <c r="AB26" s="46">
        <v>3.2</v>
      </c>
      <c r="AC26" s="47">
        <v>46065</v>
      </c>
      <c r="AD26" s="47">
        <v>46065</v>
      </c>
      <c r="AE26" s="45" t="s">
        <v>255</v>
      </c>
      <c r="AF26" s="45" t="s">
        <v>317</v>
      </c>
      <c r="AG26" s="45" t="s">
        <v>318</v>
      </c>
      <c r="AH26" s="45"/>
      <c r="AI26" s="48">
        <v>49248.82</v>
      </c>
      <c r="AJ26" s="48">
        <v>992900</v>
      </c>
      <c r="AK26" s="45"/>
      <c r="AL26" s="45"/>
      <c r="AM26" s="45"/>
      <c r="AN26" s="45"/>
      <c r="AO26" s="50" t="s">
        <v>319</v>
      </c>
      <c r="AP26" s="50" t="s">
        <v>372</v>
      </c>
      <c r="AQ26" s="50" t="s">
        <v>321</v>
      </c>
      <c r="AR26" s="51" t="s">
        <v>373</v>
      </c>
      <c r="AS26" s="51" t="s">
        <v>313</v>
      </c>
      <c r="AT26" s="51" t="s">
        <v>323</v>
      </c>
      <c r="AU26" s="45" t="str">
        <f t="shared" si="0"/>
        <v>CISCO Networking Networking - CISCO - Router or Switch</v>
      </c>
      <c r="AV26" s="45"/>
      <c r="AW26" s="45" t="str">
        <f t="shared" si="1"/>
        <v>SHANGHAI DIGITAL CHINA LIMITED COMPANY</v>
      </c>
      <c r="AX26" s="45">
        <f t="shared" si="2"/>
        <v>1</v>
      </c>
      <c r="AY26" s="45" t="str">
        <f t="shared" si="3"/>
        <v>CNY</v>
      </c>
      <c r="AZ26" s="48">
        <f t="shared" si="4"/>
        <v>10220375</v>
      </c>
      <c r="BA26" s="45"/>
      <c r="BB26" s="46">
        <f t="shared" si="5"/>
        <v>0</v>
      </c>
      <c r="BC26" s="45"/>
      <c r="BD26" s="46">
        <f t="shared" si="6"/>
        <v>0</v>
      </c>
      <c r="BE26" s="45">
        <f t="shared" si="7"/>
        <v>36</v>
      </c>
      <c r="BF26" s="45" t="str">
        <f t="shared" si="8"/>
        <v>Monthly</v>
      </c>
      <c r="BG26" s="45" t="str">
        <f t="shared" si="9"/>
        <v>Advance</v>
      </c>
      <c r="BH26" s="45"/>
      <c r="BI26" s="45"/>
      <c r="BJ26" s="45" t="str">
        <f t="shared" si="10"/>
        <v>Fixed</v>
      </c>
      <c r="BK26" s="46">
        <f t="shared" si="11"/>
        <v>3.2</v>
      </c>
      <c r="BL26" s="45">
        <f t="shared" si="12"/>
        <v>8.84</v>
      </c>
      <c r="BM26" s="46" t="str">
        <f t="shared" si="13"/>
        <v>Unknown</v>
      </c>
      <c r="BN26" s="47">
        <f t="shared" si="14"/>
        <v>46065</v>
      </c>
      <c r="BO26" s="47">
        <f t="shared" si="15"/>
        <v>46065</v>
      </c>
      <c r="BP26" s="45"/>
      <c r="BQ26" s="45" t="str">
        <f t="shared" si="16"/>
        <v>SHANGHAI BAOLONG AUTOMOBILE TECHNOLOGY CO., LTD</v>
      </c>
      <c r="BR26" s="45" t="str">
        <f t="shared" si="17"/>
        <v>SHANGHAI BAOLONG AUTOMOBILE TECHNOLOGY CO., LTD</v>
      </c>
      <c r="BS26" s="45" t="str">
        <f t="shared" si="18"/>
        <v>CSI LEASING (SHENZHEN) LTD</v>
      </c>
      <c r="BT26" s="45" t="str">
        <f t="shared" si="19"/>
        <v>SHANGHAI DIGITAL CHINA LIMITED COMPANY</v>
      </c>
      <c r="BU26" s="45"/>
      <c r="BV26" s="45" t="s">
        <v>257</v>
      </c>
      <c r="BW26" s="45" t="str">
        <f t="shared" si="20"/>
        <v>SHANGHAI BAOLONG AUTOMOBILE TECHNOLOGY CO., LTD</v>
      </c>
      <c r="BX26" s="45" t="s">
        <v>258</v>
      </c>
      <c r="BY26" s="45" t="str">
        <f t="shared" si="21"/>
        <v>IN01</v>
      </c>
      <c r="BZ26" s="45" t="s">
        <v>244</v>
      </c>
      <c r="CA26" s="45" t="s">
        <v>254</v>
      </c>
      <c r="CB26" s="45" t="s">
        <v>324</v>
      </c>
      <c r="CC26" s="45" t="str">
        <f t="shared" si="23"/>
        <v>Assignment Of Receivables</v>
      </c>
      <c r="CD26" s="45" t="s">
        <v>259</v>
      </c>
      <c r="CE26" s="45" t="str">
        <f t="shared" si="24"/>
        <v>CSI LEASING (SHENZHEN) LTD</v>
      </c>
      <c r="CF26" s="45"/>
      <c r="CG26" s="45"/>
      <c r="CH26" s="45"/>
      <c r="CI26" s="45"/>
      <c r="CJ26" s="46">
        <f t="shared" si="25"/>
        <v>0</v>
      </c>
      <c r="CK26" s="45" t="str">
        <f t="shared" si="26"/>
        <v>Advance</v>
      </c>
      <c r="CL26" s="45">
        <f t="shared" si="27"/>
        <v>36</v>
      </c>
      <c r="CM26" s="45" t="str">
        <f t="shared" si="28"/>
        <v>Monthly</v>
      </c>
      <c r="CN26" s="45"/>
      <c r="CO26" s="46">
        <f t="shared" si="29"/>
        <v>3.2</v>
      </c>
      <c r="CP26" s="46" t="str">
        <f t="shared" si="30"/>
        <v>Unknown</v>
      </c>
      <c r="CQ26" s="45"/>
      <c r="CR26" s="45" t="s">
        <v>260</v>
      </c>
      <c r="CS26" s="45" t="s">
        <v>261</v>
      </c>
      <c r="CT26" s="46">
        <f t="shared" si="31"/>
        <v>6</v>
      </c>
    </row>
    <row r="27" spans="1:98" ht="111.75" customHeight="1" x14ac:dyDescent="0.35">
      <c r="A27" s="38" t="s">
        <v>374</v>
      </c>
      <c r="B27" s="39" t="s">
        <v>375</v>
      </c>
      <c r="C27" s="39" t="s">
        <v>244</v>
      </c>
      <c r="D27" s="39" t="s">
        <v>376</v>
      </c>
      <c r="E27" s="40" t="s">
        <v>310</v>
      </c>
      <c r="F27" s="40" t="s">
        <v>311</v>
      </c>
      <c r="G27" s="41">
        <v>10220375</v>
      </c>
      <c r="H27" s="40">
        <v>1</v>
      </c>
      <c r="I27" s="40" t="s">
        <v>312</v>
      </c>
      <c r="J27" s="40" t="s">
        <v>313</v>
      </c>
      <c r="K27" s="40" t="s">
        <v>334</v>
      </c>
      <c r="L27" s="40" t="s">
        <v>249</v>
      </c>
      <c r="M27" s="40" t="s">
        <v>247</v>
      </c>
      <c r="N27" s="42">
        <v>0</v>
      </c>
      <c r="O27" s="40">
        <v>36</v>
      </c>
      <c r="P27" s="40" t="s">
        <v>41</v>
      </c>
      <c r="Q27" s="40" t="s">
        <v>251</v>
      </c>
      <c r="R27" s="43"/>
      <c r="S27" s="44" t="s">
        <v>252</v>
      </c>
      <c r="T27" s="45"/>
      <c r="U27" s="45">
        <v>7.69</v>
      </c>
      <c r="V27" s="45" t="s">
        <v>316</v>
      </c>
      <c r="W27" s="45" t="s">
        <v>253</v>
      </c>
      <c r="X27" s="46">
        <v>6</v>
      </c>
      <c r="Y27" s="45"/>
      <c r="Z27" s="45"/>
      <c r="AA27" s="45" t="s">
        <v>254</v>
      </c>
      <c r="AB27" s="46">
        <v>3.2</v>
      </c>
      <c r="AC27" s="47">
        <v>45989</v>
      </c>
      <c r="AD27" s="47">
        <v>45989</v>
      </c>
      <c r="AE27" s="45" t="s">
        <v>255</v>
      </c>
      <c r="AF27" s="45" t="s">
        <v>317</v>
      </c>
      <c r="AG27" s="45" t="s">
        <v>318</v>
      </c>
      <c r="AH27" s="45"/>
      <c r="AI27" s="48">
        <v>49248.82</v>
      </c>
      <c r="AJ27" s="48">
        <v>992900</v>
      </c>
      <c r="AK27" s="45"/>
      <c r="AL27" s="45"/>
      <c r="AM27" s="45"/>
      <c r="AN27" s="45"/>
      <c r="AO27" s="50" t="s">
        <v>319</v>
      </c>
      <c r="AP27" s="50" t="s">
        <v>320</v>
      </c>
      <c r="AQ27" s="50" t="s">
        <v>321</v>
      </c>
      <c r="AR27" s="51" t="s">
        <v>322</v>
      </c>
      <c r="AS27" s="51" t="s">
        <v>313</v>
      </c>
      <c r="AT27" s="51" t="s">
        <v>323</v>
      </c>
      <c r="AU27" s="45" t="str">
        <f t="shared" si="0"/>
        <v>CISCO Networking Networking - CISCO - Router or Switch</v>
      </c>
      <c r="AV27" s="45"/>
      <c r="AW27" s="45" t="str">
        <f t="shared" si="1"/>
        <v>SHANGHAI DIGITAL CHINA LIMITED COMPANY</v>
      </c>
      <c r="AX27" s="45">
        <f t="shared" si="2"/>
        <v>1</v>
      </c>
      <c r="AY27" s="45" t="str">
        <f t="shared" si="3"/>
        <v>CNY</v>
      </c>
      <c r="AZ27" s="48">
        <f t="shared" si="4"/>
        <v>10220375</v>
      </c>
      <c r="BA27" s="45"/>
      <c r="BB27" s="46">
        <f t="shared" si="5"/>
        <v>0</v>
      </c>
      <c r="BC27" s="45"/>
      <c r="BD27" s="46">
        <f t="shared" si="6"/>
        <v>0</v>
      </c>
      <c r="BE27" s="45">
        <f t="shared" si="7"/>
        <v>36</v>
      </c>
      <c r="BF27" s="45" t="str">
        <f t="shared" si="8"/>
        <v>Monthly</v>
      </c>
      <c r="BG27" s="45" t="str">
        <f t="shared" si="9"/>
        <v>Advance</v>
      </c>
      <c r="BH27" s="45"/>
      <c r="BI27" s="45"/>
      <c r="BJ27" s="45" t="str">
        <f t="shared" si="10"/>
        <v>Fixed</v>
      </c>
      <c r="BK27" s="46">
        <f t="shared" si="11"/>
        <v>3.2</v>
      </c>
      <c r="BL27" s="45">
        <f t="shared" si="12"/>
        <v>7.69</v>
      </c>
      <c r="BM27" s="46" t="str">
        <f t="shared" si="13"/>
        <v>Unknown</v>
      </c>
      <c r="BN27" s="47">
        <f t="shared" si="14"/>
        <v>45989</v>
      </c>
      <c r="BO27" s="47">
        <f t="shared" si="15"/>
        <v>45989</v>
      </c>
      <c r="BP27" s="45"/>
      <c r="BQ27" s="45" t="str">
        <f t="shared" si="16"/>
        <v>SHANGHAI BAOLONG AUTOMOBILE TECHNOLOGY CO., LTD</v>
      </c>
      <c r="BR27" s="45" t="str">
        <f t="shared" si="17"/>
        <v>SHANGHAI BAOLONG AUTOMOBILE TECHNOLOGY CO., LTD</v>
      </c>
      <c r="BS27" s="45" t="str">
        <f t="shared" si="18"/>
        <v>TRUMPF (CHINA) CO., LTD.</v>
      </c>
      <c r="BT27" s="45" t="str">
        <f t="shared" si="19"/>
        <v>SHANGHAI DIGITAL CHINA LIMITED COMPANY</v>
      </c>
      <c r="BU27" s="45"/>
      <c r="BV27" s="45" t="s">
        <v>257</v>
      </c>
      <c r="BW27" s="45" t="str">
        <f t="shared" si="20"/>
        <v>SHANGHAI BAOLONG AUTOMOBILE TECHNOLOGY CO., LTD</v>
      </c>
      <c r="BX27" s="45" t="s">
        <v>258</v>
      </c>
      <c r="BY27" s="45" t="str">
        <f t="shared" si="21"/>
        <v>IN01</v>
      </c>
      <c r="BZ27" s="45" t="s">
        <v>244</v>
      </c>
      <c r="CA27" s="45" t="s">
        <v>254</v>
      </c>
      <c r="CB27" s="45" t="s">
        <v>324</v>
      </c>
      <c r="CC27" s="45" t="str">
        <f t="shared" si="23"/>
        <v>Assignment Of Receivables</v>
      </c>
      <c r="CD27" s="45" t="s">
        <v>259</v>
      </c>
      <c r="CE27" s="45" t="str">
        <f t="shared" si="24"/>
        <v>TRUMPF (CHINA) CO., LTD.</v>
      </c>
      <c r="CF27" s="45"/>
      <c r="CG27" s="45"/>
      <c r="CH27" s="45"/>
      <c r="CI27" s="45"/>
      <c r="CJ27" s="46">
        <f t="shared" si="25"/>
        <v>0</v>
      </c>
      <c r="CK27" s="45" t="str">
        <f t="shared" si="26"/>
        <v>Advance</v>
      </c>
      <c r="CL27" s="45">
        <f t="shared" si="27"/>
        <v>36</v>
      </c>
      <c r="CM27" s="45" t="str">
        <f t="shared" si="28"/>
        <v>Monthly</v>
      </c>
      <c r="CN27" s="45"/>
      <c r="CO27" s="46">
        <f t="shared" si="29"/>
        <v>3.2</v>
      </c>
      <c r="CP27" s="46" t="str">
        <f t="shared" si="30"/>
        <v>Unknown</v>
      </c>
      <c r="CQ27" s="45"/>
      <c r="CR27" s="45" t="s">
        <v>260</v>
      </c>
      <c r="CS27" s="45" t="s">
        <v>261</v>
      </c>
      <c r="CT27" s="46">
        <f t="shared" si="31"/>
        <v>6</v>
      </c>
    </row>
    <row r="28" spans="1:98" x14ac:dyDescent="0.35">
      <c r="A28" s="38" t="s">
        <v>377</v>
      </c>
      <c r="B28" s="39" t="s">
        <v>378</v>
      </c>
      <c r="C28" s="39" t="s">
        <v>244</v>
      </c>
      <c r="D28" s="39" t="s">
        <v>379</v>
      </c>
      <c r="E28" s="40" t="s">
        <v>333</v>
      </c>
      <c r="F28" s="141" t="s">
        <v>16</v>
      </c>
      <c r="G28" s="41">
        <v>10000</v>
      </c>
      <c r="H28" s="40">
        <v>1</v>
      </c>
      <c r="I28" s="40"/>
      <c r="J28" s="141" t="s">
        <v>28</v>
      </c>
      <c r="K28" s="141" t="s">
        <v>334</v>
      </c>
      <c r="L28" s="141" t="s">
        <v>249</v>
      </c>
      <c r="M28" s="141"/>
      <c r="N28" s="143">
        <v>10</v>
      </c>
      <c r="O28" s="141">
        <v>24</v>
      </c>
      <c r="P28" s="141" t="s">
        <v>41</v>
      </c>
      <c r="Q28" s="141" t="s">
        <v>251</v>
      </c>
      <c r="R28" s="142">
        <v>0</v>
      </c>
      <c r="S28" s="140" t="s">
        <v>252</v>
      </c>
      <c r="T28" s="136" t="s">
        <v>253</v>
      </c>
      <c r="U28" s="136">
        <v>17.559999999999999</v>
      </c>
      <c r="V28" s="138">
        <v>7</v>
      </c>
      <c r="W28" s="136" t="s">
        <v>253</v>
      </c>
      <c r="X28" s="138">
        <v>13</v>
      </c>
      <c r="Y28" s="136"/>
      <c r="Z28" s="136"/>
      <c r="AA28" s="136" t="s">
        <v>254</v>
      </c>
      <c r="AB28" s="138">
        <v>3.1</v>
      </c>
      <c r="AC28" s="139">
        <v>46034</v>
      </c>
      <c r="AD28" s="139">
        <v>46034</v>
      </c>
      <c r="AE28" s="136" t="s">
        <v>255</v>
      </c>
      <c r="AF28" s="136"/>
      <c r="AG28" s="136"/>
      <c r="AH28" s="136"/>
      <c r="AI28" s="137">
        <v>1000</v>
      </c>
      <c r="AJ28" s="136"/>
      <c r="AK28" s="138">
        <v>30</v>
      </c>
      <c r="AL28" s="136"/>
      <c r="AM28" s="136">
        <v>24</v>
      </c>
      <c r="AN28" s="136"/>
      <c r="AO28" s="45"/>
      <c r="AP28" s="45"/>
      <c r="AQ28" s="45"/>
      <c r="AR28" s="45"/>
      <c r="AS28" s="136" t="s">
        <v>256</v>
      </c>
      <c r="AT28" s="136" t="s">
        <v>28</v>
      </c>
      <c r="AU28" s="45" t="str">
        <f t="shared" si="0"/>
        <v>CX-S 16  - Still - Other Warehouse Equipment</v>
      </c>
      <c r="AV28" s="45"/>
      <c r="AW28" s="45">
        <f t="shared" si="1"/>
        <v>0</v>
      </c>
      <c r="AX28" s="45">
        <f t="shared" si="2"/>
        <v>1</v>
      </c>
      <c r="AY28" s="45" t="str">
        <f t="shared" si="3"/>
        <v>CNY</v>
      </c>
      <c r="AZ28" s="48">
        <f t="shared" si="4"/>
        <v>10000</v>
      </c>
      <c r="BA28" s="45"/>
      <c r="BB28" s="46">
        <f t="shared" si="5"/>
        <v>10</v>
      </c>
      <c r="BC28" s="45"/>
      <c r="BD28" s="46">
        <f t="shared" si="6"/>
        <v>0</v>
      </c>
      <c r="BE28" s="45">
        <f t="shared" si="7"/>
        <v>24</v>
      </c>
      <c r="BF28" s="45" t="str">
        <f t="shared" si="8"/>
        <v>Monthly</v>
      </c>
      <c r="BG28" s="45" t="str">
        <f t="shared" si="9"/>
        <v>Advance</v>
      </c>
      <c r="BH28" s="45"/>
      <c r="BI28" s="45"/>
      <c r="BJ28" s="45" t="str">
        <f t="shared" si="10"/>
        <v>Fixed</v>
      </c>
      <c r="BK28" s="46">
        <f t="shared" si="11"/>
        <v>3.1</v>
      </c>
      <c r="BL28" s="45">
        <f t="shared" si="12"/>
        <v>17.559999999999999</v>
      </c>
      <c r="BM28" s="46">
        <f t="shared" si="13"/>
        <v>7</v>
      </c>
      <c r="BN28" s="47">
        <f t="shared" si="14"/>
        <v>46034</v>
      </c>
      <c r="BO28" s="47">
        <f t="shared" si="15"/>
        <v>46034</v>
      </c>
      <c r="BP28" s="45"/>
      <c r="BQ28" s="45" t="str">
        <f t="shared" si="16"/>
        <v>SHANGHAI BAOLONG AUTOMOBILE TECHNOLOGY CO., LTD</v>
      </c>
      <c r="BR28" s="45" t="str">
        <f t="shared" si="17"/>
        <v>SHANGHAI BAOLONG AUTOMOBILE TECHNOLOGY CO., LTD</v>
      </c>
      <c r="BS28" s="45">
        <f t="shared" si="18"/>
        <v>0</v>
      </c>
      <c r="BT28" s="45">
        <f t="shared" si="19"/>
        <v>0</v>
      </c>
      <c r="BU28" s="45"/>
      <c r="BV28" s="45" t="s">
        <v>257</v>
      </c>
      <c r="BW28" s="45" t="str">
        <f t="shared" si="20"/>
        <v>SHANGHAI BAOLONG AUTOMOBILE TECHNOLOGY CO., LTD</v>
      </c>
      <c r="BX28" s="45" t="s">
        <v>258</v>
      </c>
      <c r="BY28" s="45" t="str">
        <f t="shared" si="21"/>
        <v>IN01</v>
      </c>
      <c r="BZ28" s="45" t="s">
        <v>244</v>
      </c>
      <c r="CA28" s="45" t="s">
        <v>254</v>
      </c>
      <c r="CB28" s="45" t="str">
        <f t="shared" si="22"/>
        <v>Finance Lease</v>
      </c>
      <c r="CC28" s="45" t="str">
        <f t="shared" si="23"/>
        <v>Direct lease</v>
      </c>
      <c r="CD28" s="45" t="s">
        <v>259</v>
      </c>
      <c r="CE28" s="45">
        <f t="shared" si="24"/>
        <v>0</v>
      </c>
      <c r="CF28" s="45"/>
      <c r="CG28" s="45"/>
      <c r="CH28" s="45"/>
      <c r="CI28" s="45"/>
      <c r="CJ28" s="46">
        <f t="shared" si="25"/>
        <v>10</v>
      </c>
      <c r="CK28" s="45" t="str">
        <f t="shared" si="26"/>
        <v>Advance</v>
      </c>
      <c r="CL28" s="45">
        <f t="shared" si="27"/>
        <v>24</v>
      </c>
      <c r="CM28" s="45" t="str">
        <f t="shared" si="28"/>
        <v>Monthly</v>
      </c>
      <c r="CN28" s="45"/>
      <c r="CO28" s="46">
        <f t="shared" si="29"/>
        <v>3.1</v>
      </c>
      <c r="CP28" s="46">
        <f t="shared" si="30"/>
        <v>7</v>
      </c>
      <c r="CQ28" s="45"/>
      <c r="CR28" s="45" t="s">
        <v>260</v>
      </c>
      <c r="CS28" s="45" t="s">
        <v>261</v>
      </c>
      <c r="CT28" s="46">
        <f t="shared" si="31"/>
        <v>13</v>
      </c>
    </row>
    <row r="29" spans="1:98" x14ac:dyDescent="0.35">
      <c r="A29" s="38"/>
      <c r="B29" s="39"/>
      <c r="C29" s="39"/>
      <c r="D29" s="39"/>
      <c r="E29" s="40" t="s">
        <v>380</v>
      </c>
      <c r="F29" s="141"/>
      <c r="G29" s="41">
        <v>1000</v>
      </c>
      <c r="H29" s="40">
        <v>1</v>
      </c>
      <c r="I29" s="40"/>
      <c r="J29" s="141"/>
      <c r="K29" s="141"/>
      <c r="L29" s="141"/>
      <c r="M29" s="141"/>
      <c r="N29" s="143"/>
      <c r="O29" s="141"/>
      <c r="P29" s="141"/>
      <c r="Q29" s="141"/>
      <c r="R29" s="142"/>
      <c r="S29" s="140"/>
      <c r="T29" s="136"/>
      <c r="U29" s="136"/>
      <c r="V29" s="138"/>
      <c r="W29" s="136"/>
      <c r="X29" s="138"/>
      <c r="Y29" s="136"/>
      <c r="Z29" s="136"/>
      <c r="AA29" s="136"/>
      <c r="AB29" s="138"/>
      <c r="AC29" s="139"/>
      <c r="AD29" s="139"/>
      <c r="AE29" s="136"/>
      <c r="AF29" s="136"/>
      <c r="AG29" s="136"/>
      <c r="AH29" s="136"/>
      <c r="AI29" s="137"/>
      <c r="AJ29" s="136"/>
      <c r="AK29" s="138"/>
      <c r="AL29" s="136"/>
      <c r="AM29" s="136"/>
      <c r="AN29" s="136"/>
      <c r="AO29" s="45"/>
      <c r="AP29" s="45"/>
      <c r="AQ29" s="45"/>
      <c r="AR29" s="45"/>
      <c r="AS29" s="136"/>
      <c r="AT29" s="136"/>
      <c r="AU29" s="45" t="str">
        <f t="shared" si="0"/>
        <v>HEIDELBERG CX 104-9+LY-1+L - HEIDELBERG - Pre-Printing Equipment</v>
      </c>
      <c r="AV29" s="45"/>
      <c r="AW29" s="45">
        <f t="shared" si="1"/>
        <v>0</v>
      </c>
      <c r="AX29" s="45">
        <f t="shared" si="2"/>
        <v>1</v>
      </c>
      <c r="AY29" s="45">
        <f t="shared" si="3"/>
        <v>0</v>
      </c>
      <c r="AZ29" s="48">
        <f t="shared" si="4"/>
        <v>1000</v>
      </c>
      <c r="BA29" s="45"/>
      <c r="BB29" s="46">
        <f t="shared" si="5"/>
        <v>0</v>
      </c>
      <c r="BC29" s="45"/>
      <c r="BD29" s="46">
        <f t="shared" si="6"/>
        <v>0</v>
      </c>
      <c r="BE29" s="45">
        <f t="shared" si="7"/>
        <v>0</v>
      </c>
      <c r="BF29" s="45">
        <f t="shared" si="8"/>
        <v>0</v>
      </c>
      <c r="BG29" s="45">
        <f t="shared" si="9"/>
        <v>0</v>
      </c>
      <c r="BH29" s="45"/>
      <c r="BI29" s="45"/>
      <c r="BJ29" s="45">
        <f t="shared" si="10"/>
        <v>0</v>
      </c>
      <c r="BK29" s="46">
        <f t="shared" si="11"/>
        <v>0</v>
      </c>
      <c r="BL29" s="45">
        <f t="shared" si="12"/>
        <v>0</v>
      </c>
      <c r="BM29" s="46">
        <f t="shared" si="13"/>
        <v>0</v>
      </c>
      <c r="BN29" s="47">
        <f t="shared" si="14"/>
        <v>0</v>
      </c>
      <c r="BO29" s="47">
        <f t="shared" si="15"/>
        <v>0</v>
      </c>
      <c r="BP29" s="45"/>
      <c r="BQ29" s="45">
        <f t="shared" si="16"/>
        <v>0</v>
      </c>
      <c r="BR29" s="45">
        <f t="shared" si="17"/>
        <v>0</v>
      </c>
      <c r="BS29" s="45">
        <f t="shared" si="18"/>
        <v>0</v>
      </c>
      <c r="BT29" s="45">
        <f t="shared" si="19"/>
        <v>0</v>
      </c>
      <c r="BU29" s="45"/>
      <c r="BV29" s="45" t="s">
        <v>257</v>
      </c>
      <c r="BW29" s="45">
        <f t="shared" si="20"/>
        <v>0</v>
      </c>
      <c r="BX29" s="45" t="s">
        <v>258</v>
      </c>
      <c r="BY29" s="45" t="str">
        <f t="shared" si="21"/>
        <v>IN01</v>
      </c>
      <c r="BZ29" s="45" t="s">
        <v>244</v>
      </c>
      <c r="CA29" s="45" t="s">
        <v>254</v>
      </c>
      <c r="CB29" s="45">
        <f t="shared" si="22"/>
        <v>0</v>
      </c>
      <c r="CC29" s="45">
        <f t="shared" si="23"/>
        <v>0</v>
      </c>
      <c r="CD29" s="45" t="s">
        <v>259</v>
      </c>
      <c r="CE29" s="45">
        <f t="shared" si="24"/>
        <v>0</v>
      </c>
      <c r="CF29" s="45"/>
      <c r="CG29" s="45"/>
      <c r="CH29" s="45"/>
      <c r="CI29" s="45"/>
      <c r="CJ29" s="46">
        <f t="shared" si="25"/>
        <v>0</v>
      </c>
      <c r="CK29" s="45">
        <f t="shared" si="26"/>
        <v>0</v>
      </c>
      <c r="CL29" s="45">
        <f t="shared" si="27"/>
        <v>0</v>
      </c>
      <c r="CM29" s="45">
        <f t="shared" si="28"/>
        <v>0</v>
      </c>
      <c r="CN29" s="45"/>
      <c r="CO29" s="46">
        <f t="shared" si="29"/>
        <v>0</v>
      </c>
      <c r="CP29" s="46">
        <f t="shared" si="30"/>
        <v>0</v>
      </c>
      <c r="CQ29" s="45"/>
      <c r="CR29" s="45" t="s">
        <v>260</v>
      </c>
      <c r="CS29" s="45" t="s">
        <v>261</v>
      </c>
      <c r="CT29" s="46">
        <f t="shared" si="31"/>
        <v>0</v>
      </c>
    </row>
    <row r="30" spans="1:98" ht="29" x14ac:dyDescent="0.35">
      <c r="A30" s="38" t="s">
        <v>381</v>
      </c>
      <c r="B30" s="39" t="s">
        <v>382</v>
      </c>
      <c r="C30" s="39" t="s">
        <v>244</v>
      </c>
      <c r="D30" s="39" t="s">
        <v>383</v>
      </c>
      <c r="E30" s="40" t="s">
        <v>246</v>
      </c>
      <c r="F30" s="40" t="s">
        <v>16</v>
      </c>
      <c r="G30" s="41">
        <v>2750000</v>
      </c>
      <c r="H30" s="40">
        <v>1</v>
      </c>
      <c r="I30" s="40" t="s">
        <v>247</v>
      </c>
      <c r="J30" s="40" t="s">
        <v>265</v>
      </c>
      <c r="K30" s="40" t="s">
        <v>248</v>
      </c>
      <c r="L30" s="40" t="s">
        <v>249</v>
      </c>
      <c r="M30" s="40" t="s">
        <v>349</v>
      </c>
      <c r="N30" s="42">
        <v>30</v>
      </c>
      <c r="O30" s="40">
        <v>24</v>
      </c>
      <c r="P30" s="40" t="s">
        <v>41</v>
      </c>
      <c r="Q30" s="40" t="s">
        <v>251</v>
      </c>
      <c r="R30" s="43">
        <v>0</v>
      </c>
      <c r="S30" s="44" t="s">
        <v>252</v>
      </c>
      <c r="T30" s="45" t="s">
        <v>253</v>
      </c>
      <c r="U30" s="45">
        <v>5.76</v>
      </c>
      <c r="V30" s="45">
        <v>9.93</v>
      </c>
      <c r="W30" s="45" t="s">
        <v>253</v>
      </c>
      <c r="X30" s="46">
        <v>6</v>
      </c>
      <c r="Y30" s="45"/>
      <c r="Z30" s="45"/>
      <c r="AA30" s="45" t="s">
        <v>254</v>
      </c>
      <c r="AB30" s="46">
        <v>3.1</v>
      </c>
      <c r="AC30" s="47">
        <v>46064</v>
      </c>
      <c r="AD30" s="47">
        <v>46064</v>
      </c>
      <c r="AE30" s="45" t="s">
        <v>255</v>
      </c>
      <c r="AF30" s="45" t="s">
        <v>356</v>
      </c>
      <c r="AG30" s="45"/>
      <c r="AH30" s="45"/>
      <c r="AI30" s="46">
        <v>0</v>
      </c>
      <c r="AJ30" s="46">
        <v>0</v>
      </c>
      <c r="AK30" s="45"/>
      <c r="AL30" s="45"/>
      <c r="AM30" s="45">
        <v>24</v>
      </c>
      <c r="AN30" s="45"/>
      <c r="AO30" s="50" t="s">
        <v>357</v>
      </c>
      <c r="AP30" s="50" t="s">
        <v>358</v>
      </c>
      <c r="AQ30" s="50" t="s">
        <v>359</v>
      </c>
      <c r="AR30" s="51" t="s">
        <v>360</v>
      </c>
      <c r="AS30" s="51" t="s">
        <v>256</v>
      </c>
      <c r="AT30" s="51" t="s">
        <v>266</v>
      </c>
      <c r="AU30" s="45" t="str">
        <f t="shared" si="0"/>
        <v>TruLaser Weld 5000 Basic Edition  - TRUMPF - Metal Machine Tools</v>
      </c>
      <c r="AV30" s="45"/>
      <c r="AW30" s="45" t="str">
        <f t="shared" si="1"/>
        <v>TRUMPF (CHINA) CO., LTD.</v>
      </c>
      <c r="AX30" s="45">
        <f t="shared" si="2"/>
        <v>1</v>
      </c>
      <c r="AY30" s="45" t="str">
        <f t="shared" si="3"/>
        <v>CNY</v>
      </c>
      <c r="AZ30" s="48">
        <f t="shared" si="4"/>
        <v>2750000</v>
      </c>
      <c r="BA30" s="45"/>
      <c r="BB30" s="46">
        <f t="shared" si="5"/>
        <v>30</v>
      </c>
      <c r="BC30" s="45"/>
      <c r="BD30" s="46">
        <f t="shared" si="6"/>
        <v>0</v>
      </c>
      <c r="BE30" s="45">
        <f t="shared" si="7"/>
        <v>24</v>
      </c>
      <c r="BF30" s="45" t="str">
        <f t="shared" si="8"/>
        <v>Monthly</v>
      </c>
      <c r="BG30" s="45" t="str">
        <f t="shared" si="9"/>
        <v>Advance</v>
      </c>
      <c r="BH30" s="45"/>
      <c r="BI30" s="45"/>
      <c r="BJ30" s="45" t="str">
        <f t="shared" si="10"/>
        <v>Fixed</v>
      </c>
      <c r="BK30" s="46">
        <f t="shared" si="11"/>
        <v>3.1</v>
      </c>
      <c r="BL30" s="45">
        <f t="shared" si="12"/>
        <v>5.76</v>
      </c>
      <c r="BM30" s="46">
        <f t="shared" si="13"/>
        <v>9.93</v>
      </c>
      <c r="BN30" s="47">
        <f t="shared" si="14"/>
        <v>46064</v>
      </c>
      <c r="BO30" s="47">
        <f t="shared" si="15"/>
        <v>46064</v>
      </c>
      <c r="BP30" s="45"/>
      <c r="BQ30" s="45" t="str">
        <f t="shared" si="16"/>
        <v>NAILI CO.,LTD.</v>
      </c>
      <c r="BR30" s="45" t="str">
        <f t="shared" si="17"/>
        <v>NAILI CO.,LTD.</v>
      </c>
      <c r="BS30" s="45" t="str">
        <f t="shared" si="18"/>
        <v>TRUMPF (CHINA) CO., LTD</v>
      </c>
      <c r="BT30" s="45" t="str">
        <f t="shared" si="19"/>
        <v>TRUMPF (CHINA) CO., LTD.</v>
      </c>
      <c r="BU30" s="45"/>
      <c r="BV30" s="45" t="s">
        <v>257</v>
      </c>
      <c r="BW30" s="45" t="str">
        <f t="shared" si="20"/>
        <v>NAILI CO.,LTD.</v>
      </c>
      <c r="BX30" s="45" t="s">
        <v>258</v>
      </c>
      <c r="BY30" s="45" t="str">
        <f t="shared" si="21"/>
        <v>IN01</v>
      </c>
      <c r="BZ30" s="45" t="s">
        <v>244</v>
      </c>
      <c r="CA30" s="45" t="s">
        <v>254</v>
      </c>
      <c r="CB30" s="45" t="str">
        <f t="shared" si="22"/>
        <v>Finance Lease</v>
      </c>
      <c r="CC30" s="45" t="str">
        <f t="shared" si="23"/>
        <v>Sale and Leaseback</v>
      </c>
      <c r="CD30" s="45" t="s">
        <v>259</v>
      </c>
      <c r="CE30" s="45" t="str">
        <f t="shared" si="24"/>
        <v>TRUMPF (CHINA) CO., LTD</v>
      </c>
      <c r="CF30" s="45"/>
      <c r="CG30" s="45"/>
      <c r="CH30" s="45"/>
      <c r="CI30" s="45"/>
      <c r="CJ30" s="46">
        <f t="shared" si="25"/>
        <v>30</v>
      </c>
      <c r="CK30" s="45" t="str">
        <f t="shared" si="26"/>
        <v>Advance</v>
      </c>
      <c r="CL30" s="45">
        <f t="shared" si="27"/>
        <v>24</v>
      </c>
      <c r="CM30" s="45" t="str">
        <f t="shared" si="28"/>
        <v>Monthly</v>
      </c>
      <c r="CN30" s="45"/>
      <c r="CO30" s="46">
        <f t="shared" si="29"/>
        <v>3.1</v>
      </c>
      <c r="CP30" s="46">
        <f t="shared" si="30"/>
        <v>9.93</v>
      </c>
      <c r="CQ30" s="45"/>
      <c r="CR30" s="45" t="s">
        <v>260</v>
      </c>
      <c r="CS30" s="45" t="s">
        <v>261</v>
      </c>
      <c r="CT30" s="46">
        <f t="shared" si="31"/>
        <v>6</v>
      </c>
    </row>
    <row r="31" spans="1:98" ht="48" x14ac:dyDescent="0.35">
      <c r="A31" s="38" t="s">
        <v>10</v>
      </c>
      <c r="B31" s="52" t="s">
        <v>384</v>
      </c>
      <c r="C31" s="39" t="s">
        <v>244</v>
      </c>
      <c r="D31" s="39" t="s">
        <v>385</v>
      </c>
      <c r="E31" s="40" t="s">
        <v>294</v>
      </c>
      <c r="F31" s="40" t="s">
        <v>16</v>
      </c>
      <c r="G31" s="41">
        <v>19207072.48</v>
      </c>
      <c r="H31" s="40">
        <v>3</v>
      </c>
      <c r="I31" s="40" t="s">
        <v>328</v>
      </c>
      <c r="J31" s="40" t="s">
        <v>28</v>
      </c>
      <c r="K31" s="40" t="s">
        <v>329</v>
      </c>
      <c r="L31" s="40" t="s">
        <v>249</v>
      </c>
      <c r="M31" s="40" t="s">
        <v>386</v>
      </c>
      <c r="N31" s="42">
        <v>10</v>
      </c>
      <c r="O31" s="40">
        <v>36</v>
      </c>
      <c r="P31" s="40" t="s">
        <v>41</v>
      </c>
      <c r="Q31" s="40" t="s">
        <v>271</v>
      </c>
      <c r="R31" s="43">
        <v>0</v>
      </c>
      <c r="S31" s="44" t="s">
        <v>252</v>
      </c>
      <c r="T31" s="45" t="s">
        <v>253</v>
      </c>
      <c r="U31" s="45">
        <v>4.05</v>
      </c>
      <c r="V31" s="46">
        <v>7</v>
      </c>
      <c r="W31" s="45" t="s">
        <v>253</v>
      </c>
      <c r="X31" s="46">
        <v>13</v>
      </c>
      <c r="Y31" s="45"/>
      <c r="Z31" s="45"/>
      <c r="AA31" s="45" t="s">
        <v>254</v>
      </c>
      <c r="AB31" s="45">
        <v>2.95</v>
      </c>
      <c r="AC31" s="47">
        <v>46058</v>
      </c>
      <c r="AD31" s="47">
        <v>46058</v>
      </c>
      <c r="AE31" s="45" t="s">
        <v>255</v>
      </c>
      <c r="AF31" s="45"/>
      <c r="AG31" s="45"/>
      <c r="AH31" s="48">
        <v>64173.1</v>
      </c>
      <c r="AI31" s="48">
        <v>80000</v>
      </c>
      <c r="AJ31" s="45"/>
      <c r="AK31" s="48">
        <v>2000</v>
      </c>
      <c r="AL31" s="46">
        <v>500</v>
      </c>
      <c r="AM31" s="45">
        <v>36</v>
      </c>
      <c r="AN31" s="45"/>
      <c r="AO31" s="45"/>
      <c r="AP31" s="45"/>
      <c r="AQ31" s="45"/>
      <c r="AR31" s="45"/>
      <c r="AS31" s="45" t="s">
        <v>256</v>
      </c>
      <c r="AT31" s="45" t="s">
        <v>28</v>
      </c>
      <c r="AU31" s="45" t="str">
        <f t="shared" si="0"/>
        <v>CX104-7+L  - HEIDELBERG - Printing Machines Accessories</v>
      </c>
      <c r="AV31" s="45"/>
      <c r="AW31" s="45" t="str">
        <f t="shared" si="1"/>
        <v>HEIDELBERG GRAPHICS(BEIJING) COMPANY LIMITED GUANGZHOU BRANCH</v>
      </c>
      <c r="AX31" s="45">
        <f t="shared" si="2"/>
        <v>3</v>
      </c>
      <c r="AY31" s="45" t="str">
        <f t="shared" si="3"/>
        <v>CNY</v>
      </c>
      <c r="AZ31" s="48">
        <f t="shared" si="4"/>
        <v>19207072.48</v>
      </c>
      <c r="BA31" s="45"/>
      <c r="BB31" s="46">
        <f t="shared" si="5"/>
        <v>10</v>
      </c>
      <c r="BC31" s="45"/>
      <c r="BD31" s="46">
        <f t="shared" si="6"/>
        <v>0</v>
      </c>
      <c r="BE31" s="45">
        <f t="shared" si="7"/>
        <v>36</v>
      </c>
      <c r="BF31" s="45" t="str">
        <f t="shared" si="8"/>
        <v>Monthly</v>
      </c>
      <c r="BG31" s="45" t="str">
        <f t="shared" si="9"/>
        <v>Advance</v>
      </c>
      <c r="BH31" s="45"/>
      <c r="BI31" s="45"/>
      <c r="BJ31" s="45" t="str">
        <f t="shared" si="10"/>
        <v>Floating</v>
      </c>
      <c r="BK31" s="46">
        <f t="shared" si="11"/>
        <v>2.95</v>
      </c>
      <c r="BL31" s="45">
        <f t="shared" si="12"/>
        <v>4.05</v>
      </c>
      <c r="BM31" s="46">
        <f t="shared" si="13"/>
        <v>7</v>
      </c>
      <c r="BN31" s="47">
        <f t="shared" si="14"/>
        <v>46058</v>
      </c>
      <c r="BO31" s="47">
        <f t="shared" si="15"/>
        <v>46058</v>
      </c>
      <c r="BP31" s="45"/>
      <c r="BQ31" s="45" t="str">
        <f t="shared" si="16"/>
        <v>DONGGUAN YUE MINGHUA PRINTING PACKAGING CO.,LTD.</v>
      </c>
      <c r="BR31" s="45" t="str">
        <f t="shared" si="17"/>
        <v>DONGGUAN YUE MINGHUA PRINTING PACKAGING CO.,LTD.</v>
      </c>
      <c r="BS31" s="45" t="str">
        <f t="shared" si="18"/>
        <v>HEIDELBERG CHINA CO.,LTD</v>
      </c>
      <c r="BT31" s="45" t="str">
        <f t="shared" si="19"/>
        <v>HEIDELBERG GRAPHICS(BEIJING) COMPANY LIMITED GUANGZHOU BRANCH</v>
      </c>
      <c r="BU31" s="45"/>
      <c r="BV31" s="45" t="s">
        <v>257</v>
      </c>
      <c r="BW31" s="45" t="str">
        <f t="shared" si="20"/>
        <v>DONGGUAN YUE MINGHUA PRINTING PACKAGING CO.,LTD.</v>
      </c>
      <c r="BX31" s="45" t="s">
        <v>258</v>
      </c>
      <c r="BY31" s="45" t="str">
        <f t="shared" si="21"/>
        <v>IN01</v>
      </c>
      <c r="BZ31" s="45" t="s">
        <v>244</v>
      </c>
      <c r="CA31" s="45" t="s">
        <v>254</v>
      </c>
      <c r="CB31" s="45" t="str">
        <f t="shared" si="22"/>
        <v>Finance Lease</v>
      </c>
      <c r="CC31" s="45" t="str">
        <f t="shared" si="23"/>
        <v>Direct lease</v>
      </c>
      <c r="CD31" s="45" t="s">
        <v>259</v>
      </c>
      <c r="CE31" s="45" t="str">
        <f t="shared" si="24"/>
        <v>HEIDELBERG CHINA CO.,LTD</v>
      </c>
      <c r="CF31" s="45"/>
      <c r="CG31" s="45"/>
      <c r="CH31" s="45"/>
      <c r="CI31" s="45"/>
      <c r="CJ31" s="46">
        <f t="shared" si="25"/>
        <v>10</v>
      </c>
      <c r="CK31" s="45" t="str">
        <f t="shared" si="26"/>
        <v>Advance</v>
      </c>
      <c r="CL31" s="45">
        <f t="shared" si="27"/>
        <v>36</v>
      </c>
      <c r="CM31" s="45" t="str">
        <f t="shared" si="28"/>
        <v>Monthly</v>
      </c>
      <c r="CN31" s="45"/>
      <c r="CO31" s="46">
        <f t="shared" si="29"/>
        <v>2.95</v>
      </c>
      <c r="CP31" s="46">
        <f t="shared" si="30"/>
        <v>7</v>
      </c>
      <c r="CQ31" s="45"/>
      <c r="CR31" s="45" t="s">
        <v>260</v>
      </c>
      <c r="CS31" s="45" t="s">
        <v>261</v>
      </c>
      <c r="CT31" s="46">
        <f t="shared" si="31"/>
        <v>13</v>
      </c>
    </row>
    <row r="32" spans="1:98" x14ac:dyDescent="0.35">
      <c r="A32" s="45"/>
      <c r="B32" s="45"/>
      <c r="C32" s="39" t="s">
        <v>244</v>
      </c>
      <c r="D32" s="39" t="s">
        <v>387</v>
      </c>
      <c r="E32" s="44" t="s">
        <v>388</v>
      </c>
      <c r="F32" s="44" t="s">
        <v>311</v>
      </c>
      <c r="G32" s="53">
        <v>11283432.220000001</v>
      </c>
      <c r="H32" s="44">
        <v>1</v>
      </c>
      <c r="I32" s="44"/>
      <c r="J32" s="44" t="s">
        <v>313</v>
      </c>
      <c r="K32" s="44" t="s">
        <v>389</v>
      </c>
      <c r="L32" s="44" t="s">
        <v>249</v>
      </c>
      <c r="M32" s="44" t="s">
        <v>371</v>
      </c>
      <c r="N32" s="43">
        <v>0</v>
      </c>
      <c r="O32" s="44">
        <v>60</v>
      </c>
      <c r="P32" s="44" t="s">
        <v>41</v>
      </c>
      <c r="Q32" s="44" t="s">
        <v>271</v>
      </c>
      <c r="R32" s="44"/>
      <c r="S32" s="44" t="s">
        <v>252</v>
      </c>
      <c r="T32" s="45"/>
      <c r="U32" s="45">
        <v>4.07</v>
      </c>
      <c r="V32" s="45">
        <v>7.28</v>
      </c>
      <c r="W32" s="45" t="s">
        <v>253</v>
      </c>
      <c r="X32" s="46">
        <v>6</v>
      </c>
      <c r="Y32" s="45"/>
      <c r="Z32" s="45"/>
      <c r="AA32" s="45" t="s">
        <v>254</v>
      </c>
      <c r="AB32" s="46">
        <v>3.2</v>
      </c>
      <c r="AC32" s="47">
        <v>46093</v>
      </c>
      <c r="AD32" s="47">
        <v>46093</v>
      </c>
      <c r="AE32" s="45" t="s">
        <v>255</v>
      </c>
      <c r="AF32" s="45" t="s">
        <v>317</v>
      </c>
      <c r="AG32" s="45" t="s">
        <v>318</v>
      </c>
      <c r="AH32" s="45"/>
      <c r="AI32" s="46">
        <v>0</v>
      </c>
      <c r="AJ32" s="46">
        <v>0</v>
      </c>
      <c r="AK32" s="45"/>
      <c r="AL32" s="45"/>
      <c r="AM32" s="45"/>
      <c r="AN32" s="45"/>
      <c r="AO32" s="45">
        <v>60</v>
      </c>
      <c r="AP32" s="46">
        <v>0</v>
      </c>
      <c r="AQ32" s="45" t="s">
        <v>316</v>
      </c>
      <c r="AR32" s="47">
        <v>46093</v>
      </c>
      <c r="AS32" s="47" t="s">
        <v>313</v>
      </c>
      <c r="AT32" s="47" t="s">
        <v>323</v>
      </c>
      <c r="AU32" s="45" t="str">
        <f t="shared" si="0"/>
        <v>PCs &amp; Tablets  - CSI LEASING - Laptop</v>
      </c>
      <c r="AV32" s="45"/>
      <c r="AW32" s="45">
        <f t="shared" si="1"/>
        <v>0</v>
      </c>
      <c r="AX32" s="45">
        <f t="shared" si="2"/>
        <v>1</v>
      </c>
      <c r="AY32" s="45" t="str">
        <f t="shared" si="3"/>
        <v>CNY</v>
      </c>
      <c r="AZ32" s="48">
        <f t="shared" si="4"/>
        <v>11283432.220000001</v>
      </c>
      <c r="BA32" s="45"/>
      <c r="BB32" s="46">
        <f t="shared" si="5"/>
        <v>0</v>
      </c>
      <c r="BC32" s="45"/>
      <c r="BD32" s="46">
        <f t="shared" si="6"/>
        <v>0</v>
      </c>
      <c r="BE32" s="45">
        <f t="shared" si="7"/>
        <v>60</v>
      </c>
      <c r="BF32" s="45" t="str">
        <f t="shared" si="8"/>
        <v>Monthly</v>
      </c>
      <c r="BG32" s="45" t="str">
        <f t="shared" si="9"/>
        <v>Advance</v>
      </c>
      <c r="BH32" s="45"/>
      <c r="BI32" s="45"/>
      <c r="BJ32" s="45" t="str">
        <f t="shared" si="10"/>
        <v>Floating</v>
      </c>
      <c r="BK32" s="46">
        <f t="shared" si="11"/>
        <v>3.2</v>
      </c>
      <c r="BL32" s="45">
        <f t="shared" si="12"/>
        <v>4.07</v>
      </c>
      <c r="BM32" s="46">
        <f t="shared" si="13"/>
        <v>7.28</v>
      </c>
      <c r="BN32" s="47">
        <f t="shared" si="14"/>
        <v>46093</v>
      </c>
      <c r="BO32" s="47">
        <f t="shared" si="15"/>
        <v>46093</v>
      </c>
      <c r="BP32" s="45"/>
      <c r="BQ32" s="45" t="str">
        <f t="shared" si="16"/>
        <v>Corning (Shanghai) Management Co Ltd</v>
      </c>
      <c r="BR32" s="45" t="str">
        <f t="shared" si="17"/>
        <v>Corning (Shanghai) Management Co Ltd</v>
      </c>
      <c r="BS32" s="45" t="str">
        <f t="shared" si="18"/>
        <v>CSI LEASING (SHENZHEN) LTD</v>
      </c>
      <c r="BT32" s="45">
        <f t="shared" si="19"/>
        <v>0</v>
      </c>
      <c r="BU32" s="45"/>
      <c r="BV32" s="45" t="s">
        <v>257</v>
      </c>
      <c r="BW32" s="45" t="str">
        <f t="shared" si="20"/>
        <v>Corning (Shanghai) Management Co Ltd</v>
      </c>
      <c r="BX32" s="45" t="s">
        <v>258</v>
      </c>
      <c r="BY32" s="45" t="str">
        <f t="shared" si="21"/>
        <v>IN01</v>
      </c>
      <c r="BZ32" s="45" t="s">
        <v>244</v>
      </c>
      <c r="CA32" s="45" t="s">
        <v>254</v>
      </c>
      <c r="CB32" s="45" t="s">
        <v>324</v>
      </c>
      <c r="CC32" s="45" t="str">
        <f t="shared" si="23"/>
        <v>Assignment Of Receivables</v>
      </c>
      <c r="CD32" s="45" t="s">
        <v>259</v>
      </c>
      <c r="CE32" s="45" t="str">
        <f t="shared" si="24"/>
        <v>CSI LEASING (SHENZHEN) LTD</v>
      </c>
      <c r="CF32" s="45"/>
      <c r="CG32" s="45"/>
      <c r="CH32" s="45"/>
      <c r="CI32" s="45"/>
      <c r="CJ32" s="46">
        <f t="shared" si="25"/>
        <v>0</v>
      </c>
      <c r="CK32" s="45" t="str">
        <f t="shared" si="26"/>
        <v>Advance</v>
      </c>
      <c r="CL32" s="45">
        <f t="shared" si="27"/>
        <v>60</v>
      </c>
      <c r="CM32" s="45" t="str">
        <f t="shared" si="28"/>
        <v>Monthly</v>
      </c>
      <c r="CN32" s="45"/>
      <c r="CO32" s="46">
        <f t="shared" si="29"/>
        <v>3.2</v>
      </c>
      <c r="CP32" s="46">
        <f t="shared" si="30"/>
        <v>7.28</v>
      </c>
      <c r="CQ32" s="45"/>
      <c r="CR32" s="45" t="s">
        <v>260</v>
      </c>
      <c r="CS32" s="45" t="s">
        <v>261</v>
      </c>
      <c r="CT32" s="46">
        <f t="shared" si="31"/>
        <v>6</v>
      </c>
    </row>
    <row r="33" spans="1:98" x14ac:dyDescent="0.35">
      <c r="A33" s="45"/>
      <c r="B33" s="45"/>
      <c r="C33" s="39" t="s">
        <v>244</v>
      </c>
      <c r="D33" s="39" t="s">
        <v>390</v>
      </c>
      <c r="E33" s="44" t="s">
        <v>273</v>
      </c>
      <c r="F33" s="44" t="s">
        <v>16</v>
      </c>
      <c r="G33" s="53">
        <v>13949990.119999999</v>
      </c>
      <c r="H33" s="44">
        <v>1</v>
      </c>
      <c r="I33" s="44" t="s">
        <v>391</v>
      </c>
      <c r="J33" s="44" t="s">
        <v>265</v>
      </c>
      <c r="K33" s="44" t="s">
        <v>275</v>
      </c>
      <c r="L33" s="44" t="s">
        <v>249</v>
      </c>
      <c r="M33" s="44" t="s">
        <v>274</v>
      </c>
      <c r="N33" s="43">
        <v>0</v>
      </c>
      <c r="O33" s="44">
        <v>36</v>
      </c>
      <c r="P33" s="44" t="s">
        <v>41</v>
      </c>
      <c r="Q33" s="44" t="s">
        <v>271</v>
      </c>
      <c r="R33" s="43">
        <v>0</v>
      </c>
      <c r="S33" s="44" t="s">
        <v>286</v>
      </c>
      <c r="T33" s="45" t="s">
        <v>253</v>
      </c>
      <c r="U33" s="45">
        <v>5.52</v>
      </c>
      <c r="V33" s="45">
        <v>10.53</v>
      </c>
      <c r="W33" s="45" t="s">
        <v>253</v>
      </c>
      <c r="X33" s="46">
        <v>6</v>
      </c>
      <c r="Y33" s="45"/>
      <c r="Z33" s="45"/>
      <c r="AA33" s="45" t="s">
        <v>254</v>
      </c>
      <c r="AB33" s="45">
        <v>2.95</v>
      </c>
      <c r="AC33" s="47">
        <v>46097</v>
      </c>
      <c r="AD33" s="47">
        <v>46128</v>
      </c>
      <c r="AE33" s="45" t="s">
        <v>255</v>
      </c>
      <c r="AF33" s="45"/>
      <c r="AG33" s="45"/>
      <c r="AH33" s="48">
        <v>700000</v>
      </c>
      <c r="AI33" s="48">
        <v>100000</v>
      </c>
      <c r="AJ33" s="48">
        <v>20000</v>
      </c>
      <c r="AK33" s="45"/>
      <c r="AL33" s="48">
        <v>200000</v>
      </c>
      <c r="AM33" s="45">
        <v>36</v>
      </c>
      <c r="AN33" s="48">
        <v>15000</v>
      </c>
      <c r="AO33" s="48"/>
      <c r="AP33" s="48"/>
      <c r="AQ33" s="48"/>
      <c r="AR33" s="48"/>
      <c r="AS33" s="48" t="s">
        <v>256</v>
      </c>
      <c r="AT33" s="48" t="s">
        <v>266</v>
      </c>
      <c r="AU33" s="45" t="str">
        <f t="shared" si="0"/>
        <v>XL75-8+L  - HEIDELBERG - Printing Machines Accessories</v>
      </c>
      <c r="AV33" s="45"/>
      <c r="AW33" s="45" t="str">
        <f t="shared" si="1"/>
        <v>HEIDELBERG CHINA LTD.</v>
      </c>
      <c r="AX33" s="45">
        <f t="shared" si="2"/>
        <v>1</v>
      </c>
      <c r="AY33" s="45" t="str">
        <f t="shared" si="3"/>
        <v>CNY</v>
      </c>
      <c r="AZ33" s="48">
        <f t="shared" si="4"/>
        <v>13949990.119999999</v>
      </c>
      <c r="BA33" s="45"/>
      <c r="BB33" s="46">
        <f t="shared" si="5"/>
        <v>0</v>
      </c>
      <c r="BC33" s="45"/>
      <c r="BD33" s="46">
        <f t="shared" si="6"/>
        <v>0</v>
      </c>
      <c r="BE33" s="45">
        <f t="shared" si="7"/>
        <v>36</v>
      </c>
      <c r="BF33" s="45" t="str">
        <f t="shared" si="8"/>
        <v>Monthly</v>
      </c>
      <c r="BG33" s="45" t="str">
        <f t="shared" si="9"/>
        <v>Arrears</v>
      </c>
      <c r="BH33" s="45"/>
      <c r="BI33" s="45"/>
      <c r="BJ33" s="45" t="str">
        <f t="shared" si="10"/>
        <v>Floating</v>
      </c>
      <c r="BK33" s="46">
        <f t="shared" si="11"/>
        <v>2.95</v>
      </c>
      <c r="BL33" s="45">
        <f t="shared" si="12"/>
        <v>5.52</v>
      </c>
      <c r="BM33" s="46">
        <f t="shared" si="13"/>
        <v>10.53</v>
      </c>
      <c r="BN33" s="47">
        <f t="shared" si="14"/>
        <v>46097</v>
      </c>
      <c r="BO33" s="47">
        <f t="shared" si="15"/>
        <v>46128</v>
      </c>
      <c r="BP33" s="45"/>
      <c r="BQ33" s="45" t="str">
        <f t="shared" si="16"/>
        <v>GUANGZHOU BEIDI PACKAGING &amp; PRINTING CO.,LTD.</v>
      </c>
      <c r="BR33" s="45" t="str">
        <f t="shared" si="17"/>
        <v>GUANGZHOU BEIDI PACKAGING &amp; PRINTING CO.,LTD.</v>
      </c>
      <c r="BS33" s="45" t="str">
        <f t="shared" si="18"/>
        <v>HEIDELBERG CHINA CO.,LTD.</v>
      </c>
      <c r="BT33" s="45" t="str">
        <f t="shared" si="19"/>
        <v>HEIDELBERG CHINA LTD.</v>
      </c>
      <c r="BU33" s="45"/>
      <c r="BV33" s="45" t="s">
        <v>257</v>
      </c>
      <c r="BW33" s="45" t="str">
        <f t="shared" si="20"/>
        <v>GUANGZHOU BEIDI PACKAGING &amp; PRINTING CO.,LTD.</v>
      </c>
      <c r="BX33" s="45" t="s">
        <v>258</v>
      </c>
      <c r="BY33" s="45" t="str">
        <f t="shared" si="21"/>
        <v>IN01</v>
      </c>
      <c r="BZ33" s="45" t="s">
        <v>244</v>
      </c>
      <c r="CA33" s="45" t="s">
        <v>254</v>
      </c>
      <c r="CB33" s="45" t="str">
        <f t="shared" si="22"/>
        <v>Finance Lease</v>
      </c>
      <c r="CC33" s="45" t="str">
        <f t="shared" si="23"/>
        <v>Sale and Leaseback</v>
      </c>
      <c r="CD33" s="45" t="s">
        <v>259</v>
      </c>
      <c r="CE33" s="45" t="str">
        <f t="shared" si="24"/>
        <v>HEIDELBERG CHINA CO.,LTD.</v>
      </c>
      <c r="CF33" s="45"/>
      <c r="CG33" s="45"/>
      <c r="CH33" s="45"/>
      <c r="CI33" s="45"/>
      <c r="CJ33" s="46">
        <f t="shared" si="25"/>
        <v>0</v>
      </c>
      <c r="CK33" s="45" t="str">
        <f t="shared" si="26"/>
        <v>Arrears</v>
      </c>
      <c r="CL33" s="45">
        <f t="shared" si="27"/>
        <v>36</v>
      </c>
      <c r="CM33" s="45" t="str">
        <f t="shared" si="28"/>
        <v>Monthly</v>
      </c>
      <c r="CN33" s="45"/>
      <c r="CO33" s="46">
        <f t="shared" si="29"/>
        <v>2.95</v>
      </c>
      <c r="CP33" s="46">
        <f t="shared" si="30"/>
        <v>10.53</v>
      </c>
      <c r="CQ33" s="45"/>
      <c r="CR33" s="45" t="s">
        <v>260</v>
      </c>
      <c r="CS33" s="45" t="s">
        <v>261</v>
      </c>
      <c r="CT33" s="46">
        <f t="shared" si="31"/>
        <v>6</v>
      </c>
    </row>
    <row r="34" spans="1:98" x14ac:dyDescent="0.35">
      <c r="A34" s="45"/>
      <c r="B34" s="45"/>
      <c r="C34" s="39" t="s">
        <v>279</v>
      </c>
      <c r="D34" s="39" t="s">
        <v>392</v>
      </c>
      <c r="E34" s="44" t="s">
        <v>393</v>
      </c>
      <c r="F34" s="44" t="s">
        <v>282</v>
      </c>
      <c r="G34" s="53">
        <v>1390000</v>
      </c>
      <c r="H34" s="44">
        <v>1</v>
      </c>
      <c r="I34" s="44" t="s">
        <v>394</v>
      </c>
      <c r="J34" s="44" t="s">
        <v>265</v>
      </c>
      <c r="K34" s="44" t="s">
        <v>395</v>
      </c>
      <c r="L34" s="44" t="s">
        <v>249</v>
      </c>
      <c r="M34" s="44"/>
      <c r="N34" s="43">
        <v>0</v>
      </c>
      <c r="O34" s="44">
        <v>60</v>
      </c>
      <c r="P34" s="44" t="s">
        <v>41</v>
      </c>
      <c r="Q34" s="44" t="s">
        <v>251</v>
      </c>
      <c r="R34" s="44"/>
      <c r="S34" s="44" t="s">
        <v>252</v>
      </c>
      <c r="T34" s="45"/>
      <c r="U34" s="46">
        <v>2.5</v>
      </c>
      <c r="V34" s="45">
        <v>4.2300000000000004</v>
      </c>
      <c r="W34" s="45" t="s">
        <v>287</v>
      </c>
      <c r="X34" s="46">
        <v>6</v>
      </c>
      <c r="Y34" s="45"/>
      <c r="Z34" s="45"/>
      <c r="AA34" s="45" t="s">
        <v>254</v>
      </c>
      <c r="AB34" s="46">
        <v>0</v>
      </c>
      <c r="AC34" s="47">
        <v>46091</v>
      </c>
      <c r="AD34" s="47">
        <v>46091</v>
      </c>
      <c r="AE34" s="45" t="s">
        <v>255</v>
      </c>
      <c r="AF34" s="45"/>
      <c r="AG34" s="45"/>
      <c r="AH34" s="45"/>
      <c r="AI34" s="45"/>
      <c r="AJ34" s="45"/>
      <c r="AK34" s="45"/>
      <c r="AL34" s="48">
        <v>128265.3</v>
      </c>
      <c r="AM34" s="45">
        <v>60</v>
      </c>
      <c r="AN34" s="45"/>
      <c r="AO34" s="45"/>
      <c r="AP34" s="45"/>
      <c r="AQ34" s="45"/>
      <c r="AR34" s="45"/>
      <c r="AS34" s="45" t="s">
        <v>256</v>
      </c>
      <c r="AT34" s="45" t="s">
        <v>266</v>
      </c>
      <c r="AU34" s="45" t="str">
        <f t="shared" si="0"/>
        <v>B8R LE 4X2  - Volvo Buses - Diesel</v>
      </c>
      <c r="AV34" s="45"/>
      <c r="AW34" s="45" t="str">
        <f t="shared" si="1"/>
        <v>VOLVO BUS HONG KONG LIMITED</v>
      </c>
      <c r="AX34" s="45">
        <f t="shared" si="2"/>
        <v>1</v>
      </c>
      <c r="AY34" s="45" t="str">
        <f t="shared" si="3"/>
        <v>CNY</v>
      </c>
      <c r="AZ34" s="48">
        <f t="shared" si="4"/>
        <v>1390000</v>
      </c>
      <c r="BA34" s="45"/>
      <c r="BB34" s="46">
        <f t="shared" si="5"/>
        <v>0</v>
      </c>
      <c r="BC34" s="45"/>
      <c r="BD34" s="46">
        <f t="shared" si="6"/>
        <v>0</v>
      </c>
      <c r="BE34" s="45">
        <f t="shared" si="7"/>
        <v>60</v>
      </c>
      <c r="BF34" s="45" t="str">
        <f t="shared" si="8"/>
        <v>Monthly</v>
      </c>
      <c r="BG34" s="45" t="str">
        <f t="shared" si="9"/>
        <v>Advance</v>
      </c>
      <c r="BH34" s="45"/>
      <c r="BI34" s="45"/>
      <c r="BJ34" s="45" t="str">
        <f t="shared" si="10"/>
        <v>Fixed</v>
      </c>
      <c r="BK34" s="46">
        <f t="shared" si="11"/>
        <v>0</v>
      </c>
      <c r="BL34" s="45">
        <f t="shared" si="12"/>
        <v>2.5</v>
      </c>
      <c r="BM34" s="46">
        <f t="shared" si="13"/>
        <v>4.2300000000000004</v>
      </c>
      <c r="BN34" s="47">
        <f t="shared" si="14"/>
        <v>46091</v>
      </c>
      <c r="BO34" s="47">
        <f t="shared" si="15"/>
        <v>46091</v>
      </c>
      <c r="BP34" s="45"/>
      <c r="BQ34" s="45" t="str">
        <f t="shared" si="16"/>
        <v>KWOON CHUNG MOTORS COMPANY LTD</v>
      </c>
      <c r="BR34" s="45" t="str">
        <f t="shared" si="17"/>
        <v>KWOON CHUNG MOTORS COMPANY LTD</v>
      </c>
      <c r="BS34" s="45">
        <f t="shared" si="18"/>
        <v>0</v>
      </c>
      <c r="BT34" s="45" t="str">
        <f t="shared" si="19"/>
        <v>VOLVO BUS HONG KONG LIMITED</v>
      </c>
      <c r="BU34" s="45"/>
      <c r="BV34" s="45" t="s">
        <v>257</v>
      </c>
      <c r="BW34" s="45" t="str">
        <f t="shared" si="20"/>
        <v>KWOON CHUNG MOTORS COMPANY LTD</v>
      </c>
      <c r="BX34" s="45" t="s">
        <v>258</v>
      </c>
      <c r="BY34" s="45" t="str">
        <f t="shared" si="21"/>
        <v>IN01</v>
      </c>
      <c r="BZ34" s="45" t="s">
        <v>244</v>
      </c>
      <c r="CA34" s="45" t="s">
        <v>254</v>
      </c>
      <c r="CB34" s="45" t="str">
        <f t="shared" si="22"/>
        <v>Finance Lease</v>
      </c>
      <c r="CC34" s="45" t="str">
        <f t="shared" si="23"/>
        <v>Sale and Leaseback</v>
      </c>
      <c r="CD34" s="45" t="s">
        <v>259</v>
      </c>
      <c r="CE34" s="45">
        <f t="shared" si="24"/>
        <v>0</v>
      </c>
      <c r="CF34" s="45"/>
      <c r="CG34" s="45"/>
      <c r="CH34" s="45"/>
      <c r="CI34" s="45"/>
      <c r="CJ34" s="46">
        <f t="shared" si="25"/>
        <v>0</v>
      </c>
      <c r="CK34" s="45" t="str">
        <f t="shared" si="26"/>
        <v>Advance</v>
      </c>
      <c r="CL34" s="45">
        <f t="shared" si="27"/>
        <v>60</v>
      </c>
      <c r="CM34" s="45" t="str">
        <f t="shared" si="28"/>
        <v>Monthly</v>
      </c>
      <c r="CN34" s="45"/>
      <c r="CO34" s="46">
        <f t="shared" si="29"/>
        <v>0</v>
      </c>
      <c r="CP34" s="46">
        <f t="shared" si="30"/>
        <v>4.2300000000000004</v>
      </c>
      <c r="CQ34" s="45"/>
      <c r="CR34" s="45" t="s">
        <v>260</v>
      </c>
      <c r="CS34" s="45" t="s">
        <v>261</v>
      </c>
      <c r="CT34" s="46">
        <f t="shared" si="31"/>
        <v>6</v>
      </c>
    </row>
  </sheetData>
  <mergeCells count="40">
    <mergeCell ref="BW1:CT1"/>
    <mergeCell ref="A1:A2"/>
    <mergeCell ref="B1:B2"/>
    <mergeCell ref="C1:C2"/>
    <mergeCell ref="D1:D2"/>
    <mergeCell ref="AS1:BV1"/>
    <mergeCell ref="F28:F29"/>
    <mergeCell ref="J28:J29"/>
    <mergeCell ref="K28:K29"/>
    <mergeCell ref="L28:L29"/>
    <mergeCell ref="N28:N29"/>
    <mergeCell ref="O28:O29"/>
    <mergeCell ref="M28:M29"/>
    <mergeCell ref="P28:P29"/>
    <mergeCell ref="Q28:Q29"/>
    <mergeCell ref="R28:R29"/>
    <mergeCell ref="S28:S29"/>
    <mergeCell ref="T28:T29"/>
    <mergeCell ref="U28:U29"/>
    <mergeCell ref="V28:V29"/>
    <mergeCell ref="W28:W29"/>
    <mergeCell ref="X28:X29"/>
    <mergeCell ref="AA28:AA29"/>
    <mergeCell ref="Y28:Y29"/>
    <mergeCell ref="Z28:Z29"/>
    <mergeCell ref="AB28:AB29"/>
    <mergeCell ref="AC28:AC29"/>
    <mergeCell ref="AD28:AD29"/>
    <mergeCell ref="AE28:AE29"/>
    <mergeCell ref="AF28:AF29"/>
    <mergeCell ref="AG28:AG29"/>
    <mergeCell ref="AS28:AS29"/>
    <mergeCell ref="AT28:AT29"/>
    <mergeCell ref="AM28:AM29"/>
    <mergeCell ref="AN28:AN29"/>
    <mergeCell ref="AH28:AH29"/>
    <mergeCell ref="AI28:AI29"/>
    <mergeCell ref="AJ28:AJ29"/>
    <mergeCell ref="AK28:AK29"/>
    <mergeCell ref="AL28:AL29"/>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4058-F5A9-47AC-B307-8814462A0EE2}">
  <dimension ref="A1:J168"/>
  <sheetViews>
    <sheetView workbookViewId="0">
      <pane xSplit="6" ySplit="2" topLeftCell="G25" activePane="bottomRight" state="frozen"/>
      <selection pane="topRight" activeCell="G1" sqref="G1"/>
      <selection pane="bottomLeft" activeCell="A3" sqref="A3"/>
      <selection pane="bottomRight" activeCell="H35" sqref="H35"/>
    </sheetView>
  </sheetViews>
  <sheetFormatPr defaultRowHeight="14.5" x14ac:dyDescent="0.35"/>
  <cols>
    <col min="1" max="1" width="4.54296875" bestFit="1" customWidth="1"/>
    <col min="2" max="2" width="25.54296875" bestFit="1" customWidth="1"/>
    <col min="3" max="3" width="9.54296875" bestFit="1" customWidth="1"/>
    <col min="4" max="4" width="26.81640625" bestFit="1" customWidth="1"/>
    <col min="5" max="5" width="27.54296875" style="90" bestFit="1" customWidth="1"/>
    <col min="6" max="6" width="16.81640625" customWidth="1"/>
    <col min="7" max="7" width="11.7265625" style="61" bestFit="1" customWidth="1"/>
    <col min="8" max="8" width="27.1796875" style="61" customWidth="1"/>
    <col min="9" max="9" width="94.1796875" bestFit="1" customWidth="1"/>
    <col min="10" max="10" width="79" bestFit="1" customWidth="1"/>
  </cols>
  <sheetData>
    <row r="1" spans="1:10" x14ac:dyDescent="0.35">
      <c r="A1" s="147" t="s">
        <v>396</v>
      </c>
      <c r="B1" s="147" t="s">
        <v>397</v>
      </c>
      <c r="C1" s="147" t="s">
        <v>398</v>
      </c>
      <c r="D1" s="147"/>
      <c r="E1" s="147"/>
      <c r="F1" s="147"/>
      <c r="G1" s="147"/>
      <c r="H1" s="147"/>
      <c r="I1" s="147"/>
      <c r="J1" s="82"/>
    </row>
    <row r="2" spans="1:10" x14ac:dyDescent="0.35">
      <c r="A2" s="147"/>
      <c r="B2" s="147"/>
      <c r="C2" s="3" t="s">
        <v>399</v>
      </c>
      <c r="D2" s="3" t="s">
        <v>400</v>
      </c>
      <c r="E2" s="87" t="s">
        <v>401</v>
      </c>
      <c r="F2" s="3" t="s">
        <v>402</v>
      </c>
      <c r="G2" s="58" t="s">
        <v>403</v>
      </c>
      <c r="H2" s="58" t="s">
        <v>404</v>
      </c>
      <c r="I2" s="3" t="s">
        <v>405</v>
      </c>
      <c r="J2" s="3" t="s">
        <v>406</v>
      </c>
    </row>
    <row r="3" spans="1:10" x14ac:dyDescent="0.35">
      <c r="A3" s="18">
        <v>1</v>
      </c>
      <c r="B3" s="18" t="s">
        <v>407</v>
      </c>
      <c r="C3" s="18" t="s">
        <v>408</v>
      </c>
      <c r="D3" s="18" t="s">
        <v>409</v>
      </c>
      <c r="E3" s="88" t="s">
        <v>222</v>
      </c>
      <c r="F3" s="18" t="s">
        <v>410</v>
      </c>
      <c r="G3" s="59" t="s">
        <v>253</v>
      </c>
      <c r="H3" s="59"/>
      <c r="I3" s="18" t="s">
        <v>411</v>
      </c>
      <c r="J3" s="18" t="s">
        <v>412</v>
      </c>
    </row>
    <row r="4" spans="1:10" ht="78" customHeight="1" x14ac:dyDescent="0.35">
      <c r="A4" s="18"/>
      <c r="B4" s="18"/>
      <c r="C4" s="18" t="s">
        <v>408</v>
      </c>
      <c r="D4" s="18" t="s">
        <v>409</v>
      </c>
      <c r="E4" s="88" t="s">
        <v>413</v>
      </c>
      <c r="F4" s="18" t="s">
        <v>414</v>
      </c>
      <c r="G4" s="59" t="s">
        <v>253</v>
      </c>
      <c r="H4" s="59"/>
      <c r="I4" s="64" t="s">
        <v>415</v>
      </c>
      <c r="J4" s="64" t="s">
        <v>416</v>
      </c>
    </row>
    <row r="5" spans="1:10" x14ac:dyDescent="0.35">
      <c r="A5" s="18"/>
      <c r="B5" s="18"/>
      <c r="C5" s="18" t="s">
        <v>408</v>
      </c>
      <c r="D5" s="18" t="s">
        <v>409</v>
      </c>
      <c r="E5" s="88" t="s">
        <v>223</v>
      </c>
      <c r="F5" s="18" t="s">
        <v>258</v>
      </c>
      <c r="G5" s="59" t="s">
        <v>253</v>
      </c>
      <c r="H5" s="59"/>
      <c r="I5" s="31" t="s">
        <v>417</v>
      </c>
      <c r="J5" s="31" t="s">
        <v>418</v>
      </c>
    </row>
    <row r="6" spans="1:10" x14ac:dyDescent="0.35">
      <c r="A6" s="18"/>
      <c r="B6" s="18"/>
      <c r="C6" s="18" t="s">
        <v>408</v>
      </c>
      <c r="D6" s="18" t="s">
        <v>409</v>
      </c>
      <c r="E6" s="88" t="s">
        <v>154</v>
      </c>
      <c r="F6" s="18" t="s">
        <v>419</v>
      </c>
      <c r="G6" s="59" t="s">
        <v>253</v>
      </c>
      <c r="H6" s="59"/>
      <c r="I6" s="31" t="s">
        <v>420</v>
      </c>
      <c r="J6" s="31" t="s">
        <v>421</v>
      </c>
    </row>
    <row r="7" spans="1:10" x14ac:dyDescent="0.35">
      <c r="A7" s="18"/>
      <c r="B7" s="18"/>
      <c r="C7" s="18" t="s">
        <v>408</v>
      </c>
      <c r="D7" s="18" t="s">
        <v>409</v>
      </c>
      <c r="E7" s="88" t="s">
        <v>180</v>
      </c>
      <c r="F7" s="18" t="s">
        <v>422</v>
      </c>
      <c r="G7" s="59" t="s">
        <v>253</v>
      </c>
      <c r="H7" s="59"/>
      <c r="I7" s="31" t="s">
        <v>423</v>
      </c>
      <c r="J7" s="31" t="s">
        <v>424</v>
      </c>
    </row>
    <row r="8" spans="1:10" ht="53.25" customHeight="1" x14ac:dyDescent="0.35">
      <c r="A8" s="18"/>
      <c r="B8" s="18"/>
      <c r="C8" s="18" t="s">
        <v>408</v>
      </c>
      <c r="D8" s="18" t="s">
        <v>409</v>
      </c>
      <c r="E8" s="88" t="s">
        <v>425</v>
      </c>
      <c r="F8" s="22" t="s">
        <v>426</v>
      </c>
      <c r="G8" s="59" t="s">
        <v>253</v>
      </c>
      <c r="H8" s="59"/>
      <c r="I8" s="22" t="s">
        <v>427</v>
      </c>
      <c r="J8" s="22" t="s">
        <v>428</v>
      </c>
    </row>
    <row r="9" spans="1:10" ht="78.5" x14ac:dyDescent="0.35">
      <c r="A9" s="18"/>
      <c r="B9" s="18"/>
      <c r="C9" s="18" t="s">
        <v>408</v>
      </c>
      <c r="D9" s="18" t="s">
        <v>409</v>
      </c>
      <c r="E9" s="88" t="s">
        <v>429</v>
      </c>
      <c r="F9" s="22" t="s">
        <v>430</v>
      </c>
      <c r="G9" s="59" t="s">
        <v>253</v>
      </c>
      <c r="H9" s="59"/>
      <c r="I9" s="22" t="s">
        <v>431</v>
      </c>
      <c r="J9" s="22" t="s">
        <v>432</v>
      </c>
    </row>
    <row r="10" spans="1:10" x14ac:dyDescent="0.35">
      <c r="A10" s="18"/>
      <c r="B10" s="18"/>
      <c r="C10" s="18" t="s">
        <v>408</v>
      </c>
      <c r="D10" s="18" t="s">
        <v>409</v>
      </c>
      <c r="E10" s="88" t="s">
        <v>433</v>
      </c>
      <c r="F10" s="18" t="s">
        <v>434</v>
      </c>
      <c r="G10" s="59" t="s">
        <v>253</v>
      </c>
      <c r="H10" s="59"/>
      <c r="I10" s="22" t="s">
        <v>435</v>
      </c>
      <c r="J10" s="22" t="s">
        <v>436</v>
      </c>
    </row>
    <row r="11" spans="1:10" ht="144.75" customHeight="1" x14ac:dyDescent="0.35">
      <c r="A11" s="18"/>
      <c r="B11" s="18" t="s">
        <v>437</v>
      </c>
      <c r="C11" s="18" t="s">
        <v>408</v>
      </c>
      <c r="D11" s="19" t="s">
        <v>103</v>
      </c>
      <c r="E11" s="88" t="s">
        <v>438</v>
      </c>
      <c r="F11" s="64" t="s">
        <v>439</v>
      </c>
      <c r="G11" s="59" t="s">
        <v>253</v>
      </c>
      <c r="H11" s="59"/>
      <c r="I11" s="64" t="s">
        <v>439</v>
      </c>
      <c r="J11" s="64"/>
    </row>
    <row r="12" spans="1:10" x14ac:dyDescent="0.35">
      <c r="A12" s="18"/>
      <c r="B12" s="18"/>
      <c r="C12" s="18" t="s">
        <v>408</v>
      </c>
      <c r="D12" s="19" t="s">
        <v>103</v>
      </c>
      <c r="E12" s="88" t="s">
        <v>440</v>
      </c>
      <c r="F12" s="18" t="s">
        <v>441</v>
      </c>
      <c r="G12" s="59"/>
      <c r="H12" s="59"/>
      <c r="I12" s="18" t="s">
        <v>442</v>
      </c>
      <c r="J12" s="18" t="s">
        <v>443</v>
      </c>
    </row>
    <row r="13" spans="1:10" x14ac:dyDescent="0.35">
      <c r="A13" s="18"/>
      <c r="B13" s="18"/>
      <c r="C13" s="18" t="s">
        <v>408</v>
      </c>
      <c r="D13" s="18" t="s">
        <v>106</v>
      </c>
      <c r="E13" s="121" t="s">
        <v>444</v>
      </c>
      <c r="F13" s="18"/>
      <c r="G13" s="59"/>
      <c r="H13" s="59"/>
      <c r="I13" s="18"/>
      <c r="J13" s="83" t="s">
        <v>445</v>
      </c>
    </row>
    <row r="14" spans="1:10" x14ac:dyDescent="0.35">
      <c r="A14" s="18"/>
      <c r="B14" s="18"/>
      <c r="C14" s="18" t="s">
        <v>408</v>
      </c>
      <c r="D14" s="18" t="s">
        <v>106</v>
      </c>
      <c r="E14" s="121" t="s">
        <v>446</v>
      </c>
      <c r="F14" s="18" t="s">
        <v>253</v>
      </c>
      <c r="G14" s="59" t="s">
        <v>447</v>
      </c>
      <c r="H14" s="59"/>
      <c r="I14" s="18"/>
      <c r="J14" s="18" t="s">
        <v>448</v>
      </c>
    </row>
    <row r="15" spans="1:10" x14ac:dyDescent="0.35">
      <c r="A15" s="18"/>
      <c r="B15" s="18"/>
      <c r="C15" s="18" t="s">
        <v>408</v>
      </c>
      <c r="D15" s="18" t="s">
        <v>106</v>
      </c>
      <c r="E15" s="121" t="s">
        <v>449</v>
      </c>
      <c r="F15" s="18" t="s">
        <v>253</v>
      </c>
      <c r="G15" s="59" t="s">
        <v>447</v>
      </c>
      <c r="H15" s="59"/>
      <c r="I15" s="18"/>
      <c r="J15" s="18" t="s">
        <v>448</v>
      </c>
    </row>
    <row r="16" spans="1:10" x14ac:dyDescent="0.35">
      <c r="A16" s="18"/>
      <c r="B16" s="18"/>
      <c r="C16" s="18" t="s">
        <v>408</v>
      </c>
      <c r="D16" s="18" t="s">
        <v>106</v>
      </c>
      <c r="E16" s="121" t="s">
        <v>450</v>
      </c>
      <c r="F16" s="18" t="s">
        <v>253</v>
      </c>
      <c r="G16" s="59"/>
      <c r="H16" s="59"/>
      <c r="I16" s="18"/>
      <c r="J16" s="18" t="s">
        <v>448</v>
      </c>
    </row>
    <row r="17" spans="1:10" x14ac:dyDescent="0.35">
      <c r="A17" s="18"/>
      <c r="B17" s="18"/>
      <c r="C17" s="18" t="s">
        <v>408</v>
      </c>
      <c r="D17" s="18" t="s">
        <v>109</v>
      </c>
      <c r="E17" s="121" t="s">
        <v>451</v>
      </c>
      <c r="F17" s="18" t="s">
        <v>217</v>
      </c>
      <c r="G17" s="59" t="s">
        <v>253</v>
      </c>
      <c r="H17" s="59"/>
      <c r="I17" s="18" t="s">
        <v>452</v>
      </c>
      <c r="J17" s="18" t="s">
        <v>453</v>
      </c>
    </row>
    <row r="18" spans="1:10" x14ac:dyDescent="0.35">
      <c r="A18" s="18"/>
      <c r="B18" s="18"/>
      <c r="C18" s="18" t="s">
        <v>408</v>
      </c>
      <c r="D18" s="18" t="s">
        <v>109</v>
      </c>
      <c r="E18" s="121" t="s">
        <v>454</v>
      </c>
      <c r="F18" s="18" t="s">
        <v>455</v>
      </c>
      <c r="G18" s="59" t="s">
        <v>253</v>
      </c>
      <c r="H18" s="59"/>
      <c r="I18" s="18" t="s">
        <v>456</v>
      </c>
      <c r="J18" s="18" t="s">
        <v>455</v>
      </c>
    </row>
    <row r="19" spans="1:10" x14ac:dyDescent="0.35">
      <c r="A19" s="18"/>
      <c r="B19" s="18" t="s">
        <v>457</v>
      </c>
      <c r="C19" s="18" t="s">
        <v>408</v>
      </c>
      <c r="D19" s="18" t="s">
        <v>112</v>
      </c>
      <c r="E19" s="121" t="s">
        <v>219</v>
      </c>
      <c r="F19" s="18" t="s">
        <v>458</v>
      </c>
      <c r="G19" s="59" t="s">
        <v>253</v>
      </c>
      <c r="H19" s="59" t="s">
        <v>459</v>
      </c>
      <c r="I19" s="18" t="s">
        <v>442</v>
      </c>
      <c r="J19" s="18" t="s">
        <v>460</v>
      </c>
    </row>
    <row r="20" spans="1:10" x14ac:dyDescent="0.35">
      <c r="A20" s="18"/>
      <c r="B20" s="18"/>
      <c r="C20" s="18" t="s">
        <v>408</v>
      </c>
      <c r="D20" s="18" t="s">
        <v>112</v>
      </c>
      <c r="E20" s="121" t="s">
        <v>461</v>
      </c>
      <c r="F20" s="18" t="s">
        <v>462</v>
      </c>
      <c r="G20" s="59" t="s">
        <v>253</v>
      </c>
      <c r="H20" s="59"/>
      <c r="I20" s="18"/>
      <c r="J20" s="18" t="s">
        <v>463</v>
      </c>
    </row>
    <row r="21" spans="1:10" x14ac:dyDescent="0.35">
      <c r="A21" s="18"/>
      <c r="B21" s="18"/>
      <c r="C21" s="18" t="s">
        <v>408</v>
      </c>
      <c r="D21" s="18" t="s">
        <v>112</v>
      </c>
      <c r="E21" s="121" t="s">
        <v>464</v>
      </c>
      <c r="F21" s="18" t="s">
        <v>462</v>
      </c>
      <c r="G21" s="59" t="s">
        <v>253</v>
      </c>
      <c r="H21" s="59"/>
      <c r="I21" s="18" t="s">
        <v>465</v>
      </c>
      <c r="J21" s="18" t="s">
        <v>463</v>
      </c>
    </row>
    <row r="22" spans="1:10" x14ac:dyDescent="0.35">
      <c r="A22" s="18"/>
      <c r="B22" s="18"/>
      <c r="C22" s="18" t="s">
        <v>408</v>
      </c>
      <c r="D22" s="18" t="s">
        <v>112</v>
      </c>
      <c r="E22" s="121" t="s">
        <v>466</v>
      </c>
      <c r="F22" s="18" t="s">
        <v>467</v>
      </c>
      <c r="G22" s="59" t="s">
        <v>253</v>
      </c>
      <c r="H22" s="59"/>
      <c r="I22" s="18" t="s">
        <v>468</v>
      </c>
      <c r="J22" s="18" t="s">
        <v>469</v>
      </c>
    </row>
    <row r="23" spans="1:10" x14ac:dyDescent="0.35">
      <c r="A23" s="18"/>
      <c r="B23" s="18"/>
      <c r="C23" s="18" t="s">
        <v>408</v>
      </c>
      <c r="D23" s="18" t="s">
        <v>112</v>
      </c>
      <c r="E23" s="121" t="s">
        <v>470</v>
      </c>
      <c r="F23" s="18" t="s">
        <v>471</v>
      </c>
      <c r="G23" s="59" t="s">
        <v>253</v>
      </c>
      <c r="H23" s="59"/>
      <c r="I23" s="18" t="s">
        <v>472</v>
      </c>
      <c r="J23" s="18" t="s">
        <v>460</v>
      </c>
    </row>
    <row r="24" spans="1:10" x14ac:dyDescent="0.35">
      <c r="A24" s="18"/>
      <c r="B24" s="18"/>
      <c r="C24" s="18" t="s">
        <v>408</v>
      </c>
      <c r="D24" s="18" t="s">
        <v>112</v>
      </c>
      <c r="E24" s="121" t="s">
        <v>473</v>
      </c>
      <c r="F24" s="18"/>
      <c r="G24" s="59" t="s">
        <v>253</v>
      </c>
      <c r="H24" s="59"/>
      <c r="I24" s="18" t="s">
        <v>474</v>
      </c>
      <c r="J24" s="18" t="s">
        <v>475</v>
      </c>
    </row>
    <row r="25" spans="1:10" x14ac:dyDescent="0.35">
      <c r="A25" s="18"/>
      <c r="B25" s="18"/>
      <c r="C25" s="18" t="s">
        <v>408</v>
      </c>
      <c r="D25" s="18" t="s">
        <v>112</v>
      </c>
      <c r="E25" s="121" t="s">
        <v>476</v>
      </c>
      <c r="F25" s="18"/>
      <c r="G25" s="59" t="s">
        <v>253</v>
      </c>
      <c r="H25" s="59"/>
      <c r="I25" s="18" t="s">
        <v>477</v>
      </c>
      <c r="J25" s="18" t="s">
        <v>475</v>
      </c>
    </row>
    <row r="26" spans="1:10" x14ac:dyDescent="0.35">
      <c r="A26" s="18"/>
      <c r="B26" s="18" t="s">
        <v>478</v>
      </c>
      <c r="C26" s="18" t="s">
        <v>408</v>
      </c>
      <c r="D26" s="18" t="s">
        <v>479</v>
      </c>
      <c r="E26" s="121" t="s">
        <v>480</v>
      </c>
      <c r="F26" s="18"/>
      <c r="G26" s="59" t="s">
        <v>253</v>
      </c>
      <c r="H26" s="59"/>
      <c r="I26" s="18" t="s">
        <v>481</v>
      </c>
      <c r="J26" s="18" t="s">
        <v>482</v>
      </c>
    </row>
    <row r="27" spans="1:10" x14ac:dyDescent="0.35">
      <c r="A27" s="18"/>
      <c r="B27" s="18"/>
      <c r="C27" s="18" t="s">
        <v>408</v>
      </c>
      <c r="D27" s="18" t="s">
        <v>479</v>
      </c>
      <c r="E27" s="121" t="s">
        <v>127</v>
      </c>
      <c r="F27" s="18"/>
      <c r="G27" s="59"/>
      <c r="H27" s="59"/>
      <c r="I27" s="18" t="s">
        <v>483</v>
      </c>
      <c r="J27" s="18" t="s">
        <v>484</v>
      </c>
    </row>
    <row r="28" spans="1:10" x14ac:dyDescent="0.35">
      <c r="A28" s="18"/>
      <c r="B28" s="18"/>
      <c r="C28" s="18" t="s">
        <v>408</v>
      </c>
      <c r="D28" s="18" t="s">
        <v>479</v>
      </c>
      <c r="E28" s="121" t="s">
        <v>485</v>
      </c>
      <c r="F28" s="18"/>
      <c r="G28" s="59"/>
      <c r="H28" s="59"/>
      <c r="I28" s="18" t="s">
        <v>486</v>
      </c>
      <c r="J28" s="18"/>
    </row>
    <row r="29" spans="1:10" x14ac:dyDescent="0.35">
      <c r="A29" s="18"/>
      <c r="B29" s="18"/>
      <c r="C29" s="18" t="s">
        <v>408</v>
      </c>
      <c r="D29" s="18" t="s">
        <v>479</v>
      </c>
      <c r="E29" s="121" t="s">
        <v>487</v>
      </c>
      <c r="F29" s="18"/>
      <c r="G29" s="59" t="s">
        <v>253</v>
      </c>
      <c r="H29" s="59"/>
      <c r="I29" s="18" t="s">
        <v>488</v>
      </c>
      <c r="J29" s="18" t="s">
        <v>460</v>
      </c>
    </row>
    <row r="30" spans="1:10" x14ac:dyDescent="0.35">
      <c r="A30" s="18"/>
      <c r="B30" s="18"/>
      <c r="C30" s="18" t="s">
        <v>408</v>
      </c>
      <c r="D30" s="18" t="s">
        <v>479</v>
      </c>
      <c r="E30" s="121" t="s">
        <v>489</v>
      </c>
      <c r="F30" s="18"/>
      <c r="G30" s="59" t="s">
        <v>253</v>
      </c>
      <c r="H30" s="59"/>
      <c r="I30" s="18" t="s">
        <v>490</v>
      </c>
      <c r="J30" s="18" t="s">
        <v>491</v>
      </c>
    </row>
    <row r="31" spans="1:10" x14ac:dyDescent="0.35">
      <c r="A31" s="18"/>
      <c r="B31" s="18"/>
      <c r="C31" s="18" t="s">
        <v>408</v>
      </c>
      <c r="D31" s="18" t="s">
        <v>479</v>
      </c>
      <c r="E31" s="121" t="s">
        <v>492</v>
      </c>
      <c r="F31" s="18"/>
      <c r="G31" s="59" t="s">
        <v>253</v>
      </c>
      <c r="H31" s="59"/>
      <c r="I31" s="18" t="s">
        <v>493</v>
      </c>
      <c r="J31" s="18" t="s">
        <v>460</v>
      </c>
    </row>
    <row r="32" spans="1:10" x14ac:dyDescent="0.35">
      <c r="A32" s="18"/>
      <c r="B32" s="18" t="s">
        <v>494</v>
      </c>
      <c r="C32" s="18" t="s">
        <v>408</v>
      </c>
      <c r="D32" s="18" t="s">
        <v>495</v>
      </c>
      <c r="E32" s="121" t="s">
        <v>496</v>
      </c>
      <c r="F32" s="18"/>
      <c r="G32" s="59" t="s">
        <v>253</v>
      </c>
      <c r="H32" s="59"/>
      <c r="I32" s="18" t="s">
        <v>481</v>
      </c>
      <c r="J32" s="18" t="s">
        <v>497</v>
      </c>
    </row>
    <row r="33" spans="1:10" x14ac:dyDescent="0.35">
      <c r="A33" s="18"/>
      <c r="B33" s="18"/>
      <c r="C33" s="18" t="s">
        <v>408</v>
      </c>
      <c r="D33" s="18" t="s">
        <v>495</v>
      </c>
      <c r="E33" s="121" t="s">
        <v>498</v>
      </c>
      <c r="F33" s="18"/>
      <c r="G33" s="59" t="s">
        <v>253</v>
      </c>
      <c r="H33" s="59"/>
      <c r="I33" s="18"/>
      <c r="J33" s="18" t="s">
        <v>499</v>
      </c>
    </row>
    <row r="34" spans="1:10" x14ac:dyDescent="0.35">
      <c r="A34" s="18"/>
      <c r="B34" s="18"/>
      <c r="C34" s="18" t="s">
        <v>408</v>
      </c>
      <c r="D34" s="18" t="s">
        <v>495</v>
      </c>
      <c r="E34" s="121" t="s">
        <v>500</v>
      </c>
      <c r="F34" s="18"/>
      <c r="G34" s="59" t="s">
        <v>501</v>
      </c>
      <c r="H34" s="59"/>
      <c r="I34" s="18" t="s">
        <v>502</v>
      </c>
      <c r="J34" s="18" t="s">
        <v>503</v>
      </c>
    </row>
    <row r="35" spans="1:10" x14ac:dyDescent="0.35">
      <c r="A35" s="18"/>
      <c r="B35" s="18"/>
      <c r="C35" s="18" t="s">
        <v>408</v>
      </c>
      <c r="D35" s="18" t="s">
        <v>495</v>
      </c>
      <c r="E35" s="121" t="s">
        <v>504</v>
      </c>
      <c r="F35" s="18"/>
      <c r="G35" s="59" t="s">
        <v>501</v>
      </c>
      <c r="H35" s="59"/>
      <c r="I35" s="18" t="s">
        <v>505</v>
      </c>
      <c r="J35" s="18" t="s">
        <v>506</v>
      </c>
    </row>
    <row r="36" spans="1:10" x14ac:dyDescent="0.35">
      <c r="A36" s="18"/>
      <c r="B36" s="18"/>
      <c r="C36" s="18" t="s">
        <v>408</v>
      </c>
      <c r="D36" s="18" t="s">
        <v>495</v>
      </c>
      <c r="E36" s="121" t="s">
        <v>507</v>
      </c>
      <c r="F36" s="18"/>
      <c r="G36" s="59" t="s">
        <v>501</v>
      </c>
      <c r="H36" s="59"/>
      <c r="I36" s="18" t="s">
        <v>505</v>
      </c>
      <c r="J36" s="18" t="s">
        <v>503</v>
      </c>
    </row>
    <row r="37" spans="1:10" x14ac:dyDescent="0.35">
      <c r="A37" s="18"/>
      <c r="B37" s="18" t="s">
        <v>508</v>
      </c>
      <c r="C37" s="18" t="s">
        <v>408</v>
      </c>
      <c r="D37" s="18" t="s">
        <v>118</v>
      </c>
      <c r="E37" s="121" t="s">
        <v>509</v>
      </c>
      <c r="F37" s="18"/>
      <c r="G37" s="59" t="s">
        <v>253</v>
      </c>
      <c r="H37" s="59"/>
      <c r="I37" s="18" t="s">
        <v>510</v>
      </c>
      <c r="J37" s="18" t="s">
        <v>511</v>
      </c>
    </row>
    <row r="38" spans="1:10" x14ac:dyDescent="0.35">
      <c r="A38" s="18"/>
      <c r="B38" s="18"/>
      <c r="C38" s="18" t="s">
        <v>408</v>
      </c>
      <c r="D38" s="18" t="s">
        <v>118</v>
      </c>
      <c r="E38" s="88" t="s">
        <v>512</v>
      </c>
      <c r="F38" s="18"/>
      <c r="G38" s="59" t="s">
        <v>253</v>
      </c>
      <c r="H38" s="59"/>
      <c r="I38" s="18" t="s">
        <v>513</v>
      </c>
      <c r="J38" s="18" t="s">
        <v>514</v>
      </c>
    </row>
    <row r="39" spans="1:10" x14ac:dyDescent="0.35">
      <c r="A39" s="18"/>
      <c r="B39" s="18"/>
      <c r="C39" s="18" t="s">
        <v>408</v>
      </c>
      <c r="D39" s="18" t="s">
        <v>118</v>
      </c>
      <c r="E39" s="88" t="s">
        <v>515</v>
      </c>
      <c r="F39" s="18"/>
      <c r="G39" s="59" t="s">
        <v>253</v>
      </c>
      <c r="H39" s="59"/>
      <c r="I39" s="30" t="s">
        <v>516</v>
      </c>
      <c r="J39" s="18"/>
    </row>
    <row r="40" spans="1:10" x14ac:dyDescent="0.35">
      <c r="A40" s="18"/>
      <c r="B40" s="18"/>
      <c r="C40" s="18" t="s">
        <v>408</v>
      </c>
      <c r="D40" s="18" t="s">
        <v>118</v>
      </c>
      <c r="E40" s="88" t="s">
        <v>252</v>
      </c>
      <c r="F40" s="18"/>
      <c r="G40" s="59" t="s">
        <v>253</v>
      </c>
      <c r="H40" s="59"/>
      <c r="I40" s="18" t="s">
        <v>517</v>
      </c>
      <c r="J40" s="18" t="s">
        <v>518</v>
      </c>
    </row>
    <row r="41" spans="1:10" x14ac:dyDescent="0.35">
      <c r="A41" s="18"/>
      <c r="B41" s="18"/>
      <c r="C41" s="18" t="s">
        <v>408</v>
      </c>
      <c r="D41" s="18" t="s">
        <v>118</v>
      </c>
      <c r="E41" s="88" t="s">
        <v>519</v>
      </c>
      <c r="F41" s="18"/>
      <c r="G41" s="59" t="s">
        <v>253</v>
      </c>
      <c r="H41" s="59"/>
      <c r="I41" s="18"/>
      <c r="J41" s="18" t="s">
        <v>520</v>
      </c>
    </row>
    <row r="42" spans="1:10" x14ac:dyDescent="0.35">
      <c r="A42" s="18"/>
      <c r="B42" s="18"/>
      <c r="C42" s="18" t="s">
        <v>408</v>
      </c>
      <c r="D42" s="18" t="s">
        <v>118</v>
      </c>
      <c r="E42" s="88" t="s">
        <v>521</v>
      </c>
      <c r="F42" s="18"/>
      <c r="G42" s="59" t="s">
        <v>253</v>
      </c>
      <c r="H42" s="59"/>
      <c r="I42" s="18" t="s">
        <v>522</v>
      </c>
      <c r="J42" s="18"/>
    </row>
    <row r="43" spans="1:10" x14ac:dyDescent="0.35">
      <c r="A43" s="18"/>
      <c r="B43" s="18"/>
      <c r="C43" s="18" t="s">
        <v>408</v>
      </c>
      <c r="D43" s="18" t="s">
        <v>118</v>
      </c>
      <c r="E43" s="88" t="s">
        <v>523</v>
      </c>
      <c r="F43" s="18"/>
      <c r="G43" s="59" t="s">
        <v>253</v>
      </c>
      <c r="H43" s="59"/>
      <c r="I43" s="18"/>
      <c r="J43" s="18"/>
    </row>
    <row r="44" spans="1:10" x14ac:dyDescent="0.35">
      <c r="A44" s="18"/>
      <c r="B44" s="18"/>
      <c r="C44" s="18" t="s">
        <v>408</v>
      </c>
      <c r="D44" s="18" t="s">
        <v>118</v>
      </c>
      <c r="E44" s="88" t="s">
        <v>524</v>
      </c>
      <c r="F44" s="18"/>
      <c r="G44" s="59" t="s">
        <v>253</v>
      </c>
      <c r="H44" s="59"/>
      <c r="I44" s="18" t="s">
        <v>525</v>
      </c>
      <c r="J44" s="18"/>
    </row>
    <row r="45" spans="1:10" x14ac:dyDescent="0.35">
      <c r="A45" s="18"/>
      <c r="B45" s="18"/>
      <c r="C45" s="18" t="s">
        <v>408</v>
      </c>
      <c r="D45" s="18" t="s">
        <v>118</v>
      </c>
      <c r="E45" s="88" t="s">
        <v>526</v>
      </c>
      <c r="F45" s="18"/>
      <c r="G45" s="59"/>
      <c r="H45" s="59"/>
      <c r="I45" s="18" t="s">
        <v>510</v>
      </c>
      <c r="J45" s="18" t="s">
        <v>527</v>
      </c>
    </row>
    <row r="46" spans="1:10" x14ac:dyDescent="0.35">
      <c r="A46" s="18"/>
      <c r="B46" s="18"/>
      <c r="C46" s="18" t="s">
        <v>408</v>
      </c>
      <c r="D46" s="18" t="s">
        <v>118</v>
      </c>
      <c r="E46" s="88" t="s">
        <v>528</v>
      </c>
      <c r="F46" s="18"/>
      <c r="G46" s="59"/>
      <c r="H46" s="59"/>
      <c r="I46" s="18" t="s">
        <v>510</v>
      </c>
      <c r="J46" s="18" t="s">
        <v>527</v>
      </c>
    </row>
    <row r="47" spans="1:10" x14ac:dyDescent="0.35">
      <c r="A47" s="18"/>
      <c r="B47" s="18"/>
      <c r="C47" s="18" t="s">
        <v>408</v>
      </c>
      <c r="D47" s="18" t="s">
        <v>118</v>
      </c>
      <c r="E47" s="88" t="s">
        <v>529</v>
      </c>
      <c r="F47" s="18"/>
      <c r="G47" s="59" t="s">
        <v>253</v>
      </c>
      <c r="H47" s="59"/>
      <c r="I47" s="18"/>
      <c r="J47" s="18" t="s">
        <v>530</v>
      </c>
    </row>
    <row r="48" spans="1:10" x14ac:dyDescent="0.35">
      <c r="A48" s="18"/>
      <c r="B48" s="18"/>
      <c r="C48" s="18" t="s">
        <v>408</v>
      </c>
      <c r="D48" s="18" t="s">
        <v>118</v>
      </c>
      <c r="E48" s="88" t="s">
        <v>531</v>
      </c>
      <c r="F48" s="18"/>
      <c r="G48" s="59"/>
      <c r="H48" s="59"/>
      <c r="I48" s="18" t="s">
        <v>532</v>
      </c>
      <c r="J48" s="18" t="s">
        <v>533</v>
      </c>
    </row>
    <row r="49" spans="1:10" x14ac:dyDescent="0.35">
      <c r="A49" s="18"/>
      <c r="B49" s="18"/>
      <c r="C49" s="18" t="s">
        <v>408</v>
      </c>
      <c r="D49" s="18" t="s">
        <v>118</v>
      </c>
      <c r="E49" s="88" t="s">
        <v>232</v>
      </c>
      <c r="F49" s="18"/>
      <c r="G49" s="59" t="s">
        <v>253</v>
      </c>
      <c r="H49" s="59"/>
      <c r="I49" s="18" t="s">
        <v>532</v>
      </c>
      <c r="J49" s="18" t="s">
        <v>534</v>
      </c>
    </row>
    <row r="50" spans="1:10" x14ac:dyDescent="0.35">
      <c r="A50" s="18"/>
      <c r="B50" s="18"/>
      <c r="C50" s="18" t="s">
        <v>408</v>
      </c>
      <c r="D50" s="18" t="s">
        <v>118</v>
      </c>
      <c r="E50" s="88" t="s">
        <v>535</v>
      </c>
      <c r="F50" s="18"/>
      <c r="G50" s="59"/>
      <c r="H50" s="59"/>
      <c r="I50" s="18"/>
      <c r="J50" s="18" t="s">
        <v>536</v>
      </c>
    </row>
    <row r="51" spans="1:10" x14ac:dyDescent="0.35">
      <c r="A51" s="18"/>
      <c r="B51" s="18"/>
      <c r="C51" s="18" t="s">
        <v>408</v>
      </c>
      <c r="D51" s="18" t="s">
        <v>118</v>
      </c>
      <c r="E51" s="88" t="s">
        <v>537</v>
      </c>
      <c r="F51" s="18"/>
      <c r="G51" s="59"/>
      <c r="H51" s="59"/>
      <c r="I51" s="18" t="s">
        <v>538</v>
      </c>
      <c r="J51" s="18" t="s">
        <v>539</v>
      </c>
    </row>
    <row r="52" spans="1:10" x14ac:dyDescent="0.35">
      <c r="A52" s="18"/>
      <c r="B52" s="18"/>
      <c r="C52" s="18" t="s">
        <v>408</v>
      </c>
      <c r="D52" s="18" t="s">
        <v>118</v>
      </c>
      <c r="E52" s="88" t="s">
        <v>540</v>
      </c>
      <c r="F52" s="18"/>
      <c r="G52" s="59"/>
      <c r="H52" s="59"/>
      <c r="I52" s="18"/>
      <c r="J52" s="18" t="s">
        <v>539</v>
      </c>
    </row>
    <row r="53" spans="1:10" x14ac:dyDescent="0.35">
      <c r="A53" s="18"/>
      <c r="B53" s="18" t="s">
        <v>541</v>
      </c>
      <c r="C53" s="18" t="s">
        <v>408</v>
      </c>
      <c r="D53" s="18" t="s">
        <v>542</v>
      </c>
      <c r="E53" s="88" t="s">
        <v>543</v>
      </c>
      <c r="F53" s="18"/>
      <c r="G53" s="59" t="s">
        <v>253</v>
      </c>
      <c r="H53" s="59"/>
      <c r="I53" s="18"/>
      <c r="J53" s="18" t="s">
        <v>445</v>
      </c>
    </row>
    <row r="54" spans="1:10" x14ac:dyDescent="0.35">
      <c r="A54" s="18"/>
      <c r="B54" s="18"/>
      <c r="C54" s="18" t="s">
        <v>408</v>
      </c>
      <c r="D54" s="18" t="s">
        <v>542</v>
      </c>
      <c r="E54" s="88" t="s">
        <v>544</v>
      </c>
      <c r="F54" s="18"/>
      <c r="G54" s="59" t="s">
        <v>253</v>
      </c>
      <c r="H54" s="59"/>
      <c r="I54" s="18"/>
      <c r="J54" s="18" t="s">
        <v>539</v>
      </c>
    </row>
    <row r="55" spans="1:10" x14ac:dyDescent="0.35">
      <c r="A55" s="18"/>
      <c r="B55" s="18"/>
      <c r="C55" s="18" t="s">
        <v>408</v>
      </c>
      <c r="D55" s="18" t="s">
        <v>542</v>
      </c>
      <c r="E55" s="88" t="s">
        <v>545</v>
      </c>
      <c r="F55" s="18"/>
      <c r="G55" s="59" t="s">
        <v>253</v>
      </c>
      <c r="H55" s="59"/>
      <c r="I55" s="18"/>
      <c r="J55" s="18" t="s">
        <v>546</v>
      </c>
    </row>
    <row r="56" spans="1:10" x14ac:dyDescent="0.35">
      <c r="A56" s="18"/>
      <c r="B56" s="18"/>
      <c r="C56" s="18" t="s">
        <v>408</v>
      </c>
      <c r="D56" s="18" t="s">
        <v>542</v>
      </c>
      <c r="E56" s="88" t="s">
        <v>547</v>
      </c>
      <c r="F56" s="18"/>
      <c r="G56" s="59" t="s">
        <v>253</v>
      </c>
      <c r="H56" s="59"/>
      <c r="I56" s="18"/>
      <c r="J56" s="18" t="s">
        <v>548</v>
      </c>
    </row>
    <row r="57" spans="1:10" x14ac:dyDescent="0.35">
      <c r="A57" s="18"/>
      <c r="B57" s="18"/>
      <c r="C57" s="18" t="s">
        <v>408</v>
      </c>
      <c r="D57" s="18" t="s">
        <v>542</v>
      </c>
      <c r="E57" s="88" t="s">
        <v>549</v>
      </c>
      <c r="F57" s="18"/>
      <c r="G57" s="59" t="s">
        <v>253</v>
      </c>
      <c r="H57" s="59"/>
      <c r="I57" s="18"/>
      <c r="J57" s="18" t="s">
        <v>550</v>
      </c>
    </row>
    <row r="58" spans="1:10" x14ac:dyDescent="0.35">
      <c r="A58" s="18"/>
      <c r="B58" s="18"/>
      <c r="C58" s="18" t="s">
        <v>408</v>
      </c>
      <c r="D58" s="18" t="s">
        <v>542</v>
      </c>
      <c r="E58" s="88" t="s">
        <v>551</v>
      </c>
      <c r="F58" s="18"/>
      <c r="G58" s="59"/>
      <c r="H58" s="59"/>
      <c r="I58" s="18"/>
      <c r="J58" s="18" t="s">
        <v>552</v>
      </c>
    </row>
    <row r="59" spans="1:10" x14ac:dyDescent="0.35">
      <c r="A59" s="18"/>
      <c r="B59" s="18"/>
      <c r="C59" s="18" t="s">
        <v>408</v>
      </c>
      <c r="D59" s="18" t="s">
        <v>542</v>
      </c>
      <c r="E59" s="88" t="s">
        <v>553</v>
      </c>
      <c r="F59" s="18"/>
      <c r="G59" s="59"/>
      <c r="H59" s="59"/>
      <c r="I59" s="18"/>
      <c r="J59" s="18" t="s">
        <v>554</v>
      </c>
    </row>
    <row r="60" spans="1:10" x14ac:dyDescent="0.35">
      <c r="A60" s="18"/>
      <c r="B60" s="18"/>
      <c r="C60" s="18" t="s">
        <v>408</v>
      </c>
      <c r="D60" s="18" t="s">
        <v>542</v>
      </c>
      <c r="E60" s="88" t="s">
        <v>555</v>
      </c>
      <c r="F60" s="18"/>
      <c r="G60" s="59"/>
      <c r="H60" s="59"/>
      <c r="I60" s="18"/>
      <c r="J60" s="18" t="s">
        <v>554</v>
      </c>
    </row>
    <row r="61" spans="1:10" x14ac:dyDescent="0.35">
      <c r="A61" s="18"/>
      <c r="B61" s="18"/>
      <c r="C61" s="18" t="s">
        <v>408</v>
      </c>
      <c r="D61" s="18" t="s">
        <v>542</v>
      </c>
      <c r="E61" s="88" t="s">
        <v>556</v>
      </c>
      <c r="F61" s="18"/>
      <c r="G61" s="59"/>
      <c r="H61" s="59"/>
      <c r="I61" s="18"/>
      <c r="J61" s="18" t="s">
        <v>475</v>
      </c>
    </row>
    <row r="62" spans="1:10" x14ac:dyDescent="0.35">
      <c r="A62" s="18"/>
      <c r="B62" s="18" t="s">
        <v>557</v>
      </c>
      <c r="C62" s="18" t="s">
        <v>408</v>
      </c>
      <c r="D62" s="18" t="s">
        <v>558</v>
      </c>
      <c r="E62" s="88" t="s">
        <v>559</v>
      </c>
      <c r="F62" s="18"/>
      <c r="G62" s="59" t="s">
        <v>253</v>
      </c>
      <c r="H62" s="59"/>
      <c r="I62" s="18"/>
      <c r="J62" s="1" t="s">
        <v>560</v>
      </c>
    </row>
    <row r="63" spans="1:10" x14ac:dyDescent="0.35">
      <c r="A63" s="18"/>
      <c r="B63" s="18" t="s">
        <v>561</v>
      </c>
      <c r="C63" s="18" t="s">
        <v>408</v>
      </c>
      <c r="D63" s="18" t="s">
        <v>127</v>
      </c>
      <c r="E63" s="88" t="s">
        <v>485</v>
      </c>
      <c r="F63" s="18"/>
      <c r="G63" s="59"/>
      <c r="H63" s="59"/>
      <c r="I63" s="18"/>
      <c r="J63" s="18"/>
    </row>
    <row r="64" spans="1:10" x14ac:dyDescent="0.35">
      <c r="A64" s="18"/>
      <c r="B64" s="18"/>
      <c r="C64" s="18" t="s">
        <v>408</v>
      </c>
      <c r="D64" s="18" t="s">
        <v>127</v>
      </c>
      <c r="E64" s="88" t="s">
        <v>562</v>
      </c>
      <c r="F64" s="18"/>
      <c r="G64" s="59"/>
      <c r="H64" s="59"/>
      <c r="I64" s="18"/>
      <c r="J64" s="18"/>
    </row>
    <row r="65" spans="1:10" x14ac:dyDescent="0.35">
      <c r="A65" s="18"/>
      <c r="B65" s="18" t="s">
        <v>563</v>
      </c>
      <c r="C65" s="18" t="s">
        <v>408</v>
      </c>
      <c r="D65" s="18" t="s">
        <v>564</v>
      </c>
      <c r="E65" s="88" t="s">
        <v>565</v>
      </c>
      <c r="F65" s="18"/>
      <c r="G65" s="59" t="s">
        <v>253</v>
      </c>
      <c r="H65" s="59"/>
      <c r="I65" s="18"/>
      <c r="J65" s="18"/>
    </row>
    <row r="66" spans="1:10" x14ac:dyDescent="0.35">
      <c r="A66" s="18"/>
      <c r="B66" s="18"/>
      <c r="C66" s="18" t="s">
        <v>408</v>
      </c>
      <c r="D66" s="18" t="s">
        <v>566</v>
      </c>
      <c r="E66" s="88" t="s">
        <v>567</v>
      </c>
      <c r="F66" s="18"/>
      <c r="G66" s="59" t="s">
        <v>253</v>
      </c>
      <c r="H66" s="59"/>
      <c r="I66" s="18"/>
      <c r="J66" s="18" t="s">
        <v>475</v>
      </c>
    </row>
    <row r="67" spans="1:10" x14ac:dyDescent="0.35">
      <c r="A67" s="18"/>
      <c r="B67" s="18" t="s">
        <v>568</v>
      </c>
      <c r="C67" s="18" t="s">
        <v>408</v>
      </c>
      <c r="D67" s="18" t="s">
        <v>569</v>
      </c>
      <c r="E67" s="88" t="s">
        <v>570</v>
      </c>
      <c r="F67" s="18"/>
      <c r="G67" s="59"/>
      <c r="H67" s="59"/>
      <c r="I67" s="18" t="s">
        <v>571</v>
      </c>
      <c r="J67" s="18"/>
    </row>
    <row r="68" spans="1:10" x14ac:dyDescent="0.35">
      <c r="A68" s="18"/>
      <c r="B68" s="18" t="s">
        <v>572</v>
      </c>
      <c r="C68" s="18" t="s">
        <v>408</v>
      </c>
      <c r="D68" s="18" t="s">
        <v>138</v>
      </c>
      <c r="E68" s="88" t="s">
        <v>573</v>
      </c>
      <c r="F68" s="18"/>
      <c r="G68" s="59" t="s">
        <v>253</v>
      </c>
      <c r="H68" s="59"/>
      <c r="I68" s="18" t="s">
        <v>574</v>
      </c>
      <c r="J68" s="18"/>
    </row>
    <row r="69" spans="1:10" x14ac:dyDescent="0.35">
      <c r="A69" s="18"/>
      <c r="B69" s="18"/>
      <c r="C69" s="18" t="s">
        <v>408</v>
      </c>
      <c r="D69" s="18" t="s">
        <v>138</v>
      </c>
      <c r="E69" s="88" t="s">
        <v>575</v>
      </c>
      <c r="F69" s="18"/>
      <c r="G69" s="59" t="s">
        <v>253</v>
      </c>
      <c r="H69" s="59"/>
      <c r="I69" s="18" t="s">
        <v>574</v>
      </c>
      <c r="J69" s="18"/>
    </row>
    <row r="70" spans="1:10" x14ac:dyDescent="0.35">
      <c r="A70" s="18"/>
      <c r="B70" s="18"/>
      <c r="C70" s="18" t="s">
        <v>408</v>
      </c>
      <c r="D70" s="18" t="s">
        <v>138</v>
      </c>
      <c r="E70" s="88" t="s">
        <v>576</v>
      </c>
      <c r="F70" s="18"/>
      <c r="G70" s="59" t="s">
        <v>253</v>
      </c>
      <c r="H70" s="59"/>
      <c r="I70" s="18" t="s">
        <v>574</v>
      </c>
      <c r="J70" s="18"/>
    </row>
    <row r="71" spans="1:10" x14ac:dyDescent="0.35">
      <c r="A71" s="18"/>
      <c r="B71" s="18"/>
      <c r="C71" s="18" t="s">
        <v>408</v>
      </c>
      <c r="D71" s="18" t="s">
        <v>138</v>
      </c>
      <c r="E71" s="88" t="s">
        <v>577</v>
      </c>
      <c r="F71" s="18"/>
      <c r="G71" s="59" t="s">
        <v>253</v>
      </c>
      <c r="H71" s="59"/>
      <c r="I71" s="18" t="s">
        <v>574</v>
      </c>
      <c r="J71" s="18"/>
    </row>
    <row r="72" spans="1:10" x14ac:dyDescent="0.35">
      <c r="A72" s="18"/>
      <c r="B72" s="18"/>
      <c r="C72" s="18" t="s">
        <v>408</v>
      </c>
      <c r="D72" s="18" t="s">
        <v>578</v>
      </c>
      <c r="E72" s="88" t="s">
        <v>142</v>
      </c>
      <c r="F72" s="18"/>
      <c r="G72" s="59"/>
      <c r="H72" s="59"/>
      <c r="I72" s="18" t="s">
        <v>579</v>
      </c>
      <c r="J72" s="18"/>
    </row>
    <row r="73" spans="1:10" x14ac:dyDescent="0.35">
      <c r="A73" s="18"/>
      <c r="B73" s="18"/>
      <c r="C73" s="18" t="s">
        <v>408</v>
      </c>
      <c r="D73" s="18" t="s">
        <v>144</v>
      </c>
      <c r="E73" s="88" t="s">
        <v>142</v>
      </c>
      <c r="F73" s="18"/>
      <c r="G73" s="59" t="s">
        <v>253</v>
      </c>
      <c r="H73" s="59"/>
      <c r="I73" s="18"/>
      <c r="J73" s="18"/>
    </row>
    <row r="74" spans="1:10" x14ac:dyDescent="0.35">
      <c r="A74" s="18"/>
      <c r="B74" s="18" t="s">
        <v>580</v>
      </c>
      <c r="C74" s="18" t="s">
        <v>408</v>
      </c>
      <c r="D74" s="18" t="s">
        <v>146</v>
      </c>
      <c r="E74" s="88" t="s">
        <v>581</v>
      </c>
      <c r="F74" s="18"/>
      <c r="G74" s="59" t="s">
        <v>253</v>
      </c>
      <c r="H74" s="59"/>
      <c r="I74" s="18"/>
      <c r="J74" s="18"/>
    </row>
    <row r="75" spans="1:10" x14ac:dyDescent="0.35">
      <c r="A75" s="18"/>
      <c r="B75" s="18"/>
      <c r="C75" s="18" t="s">
        <v>408</v>
      </c>
      <c r="D75" s="18" t="s">
        <v>146</v>
      </c>
      <c r="E75" s="88" t="s">
        <v>582</v>
      </c>
      <c r="F75" s="18"/>
      <c r="G75" s="59" t="s">
        <v>253</v>
      </c>
      <c r="H75" s="59"/>
      <c r="I75" s="18"/>
      <c r="J75" s="18"/>
    </row>
    <row r="76" spans="1:10" x14ac:dyDescent="0.35">
      <c r="A76" s="18"/>
      <c r="B76" s="18"/>
      <c r="C76" s="18" t="s">
        <v>408</v>
      </c>
      <c r="D76" s="18" t="s">
        <v>146</v>
      </c>
      <c r="E76" s="88" t="s">
        <v>583</v>
      </c>
      <c r="F76" s="18"/>
      <c r="G76" s="59" t="s">
        <v>253</v>
      </c>
      <c r="H76" s="59"/>
      <c r="I76" s="18"/>
      <c r="J76" s="18"/>
    </row>
    <row r="77" spans="1:10" x14ac:dyDescent="0.35">
      <c r="A77" s="18"/>
      <c r="B77" s="18"/>
      <c r="C77" s="18" t="s">
        <v>408</v>
      </c>
      <c r="D77" s="18" t="s">
        <v>146</v>
      </c>
      <c r="E77" s="88" t="s">
        <v>584</v>
      </c>
      <c r="F77" s="18"/>
      <c r="G77" s="59" t="s">
        <v>253</v>
      </c>
      <c r="H77" s="59"/>
      <c r="I77" s="18"/>
      <c r="J77" s="18"/>
    </row>
    <row r="78" spans="1:10" x14ac:dyDescent="0.35">
      <c r="A78" s="18"/>
      <c r="B78" s="18"/>
      <c r="C78" s="18" t="s">
        <v>408</v>
      </c>
      <c r="D78" s="18" t="s">
        <v>146</v>
      </c>
      <c r="E78" s="88" t="s">
        <v>585</v>
      </c>
      <c r="F78" s="18"/>
      <c r="G78" s="59" t="s">
        <v>253</v>
      </c>
      <c r="H78" s="59"/>
      <c r="I78" s="18"/>
      <c r="J78" s="18"/>
    </row>
    <row r="79" spans="1:10" x14ac:dyDescent="0.35">
      <c r="A79" s="18"/>
      <c r="B79" s="18"/>
      <c r="C79" s="18" t="s">
        <v>408</v>
      </c>
      <c r="D79" s="18" t="s">
        <v>146</v>
      </c>
      <c r="E79" s="88" t="s">
        <v>586</v>
      </c>
      <c r="F79" s="18"/>
      <c r="G79" s="59" t="s">
        <v>253</v>
      </c>
      <c r="H79" s="59"/>
      <c r="I79" s="18"/>
      <c r="J79" s="18"/>
    </row>
    <row r="80" spans="1:10" x14ac:dyDescent="0.35">
      <c r="A80" s="18"/>
      <c r="B80" s="18"/>
      <c r="C80" s="18" t="s">
        <v>408</v>
      </c>
      <c r="D80" s="18" t="s">
        <v>146</v>
      </c>
      <c r="E80" s="88" t="s">
        <v>587</v>
      </c>
      <c r="F80" s="18"/>
      <c r="G80" s="59" t="s">
        <v>253</v>
      </c>
      <c r="H80" s="59"/>
      <c r="I80" s="18"/>
      <c r="J80" s="18"/>
    </row>
    <row r="81" spans="1:10" x14ac:dyDescent="0.35">
      <c r="A81" s="18"/>
      <c r="B81" s="18"/>
      <c r="C81" s="18"/>
      <c r="D81" s="18"/>
      <c r="E81" s="88"/>
      <c r="F81" s="18"/>
      <c r="G81" s="59"/>
      <c r="H81" s="59"/>
      <c r="I81" s="18"/>
      <c r="J81" s="18"/>
    </row>
    <row r="82" spans="1:10" x14ac:dyDescent="0.35">
      <c r="A82" s="18"/>
      <c r="B82" s="18"/>
      <c r="C82" s="18" t="s">
        <v>222</v>
      </c>
      <c r="D82" s="18" t="s">
        <v>588</v>
      </c>
      <c r="E82" s="88"/>
      <c r="F82" s="18"/>
      <c r="G82" s="59"/>
      <c r="H82" s="59"/>
      <c r="I82" s="18"/>
      <c r="J82" s="18"/>
    </row>
    <row r="83" spans="1:10" x14ac:dyDescent="0.35">
      <c r="A83" s="18"/>
      <c r="B83" s="18"/>
      <c r="C83" s="18" t="s">
        <v>222</v>
      </c>
      <c r="D83" s="1"/>
      <c r="E83" s="88" t="s">
        <v>589</v>
      </c>
      <c r="F83" s="18"/>
      <c r="G83" s="59" t="s">
        <v>253</v>
      </c>
      <c r="H83" s="59"/>
      <c r="I83" s="18"/>
      <c r="J83" s="18" t="s">
        <v>590</v>
      </c>
    </row>
    <row r="84" spans="1:10" x14ac:dyDescent="0.35">
      <c r="A84" s="18"/>
      <c r="B84" s="18"/>
      <c r="C84" s="18" t="s">
        <v>222</v>
      </c>
      <c r="D84" s="1"/>
      <c r="E84" s="88" t="s">
        <v>8</v>
      </c>
      <c r="F84" s="18"/>
      <c r="G84" s="59"/>
      <c r="H84" s="59"/>
      <c r="I84" s="18"/>
      <c r="J84" s="18" t="s">
        <v>591</v>
      </c>
    </row>
    <row r="85" spans="1:10" x14ac:dyDescent="0.35">
      <c r="A85" s="18"/>
      <c r="B85" s="18"/>
      <c r="C85" s="18" t="s">
        <v>222</v>
      </c>
      <c r="D85" s="1"/>
      <c r="E85" s="88" t="s">
        <v>586</v>
      </c>
      <c r="F85" s="18"/>
      <c r="G85" s="59" t="s">
        <v>253</v>
      </c>
      <c r="H85" s="59"/>
      <c r="I85" s="18"/>
      <c r="J85" s="18" t="s">
        <v>592</v>
      </c>
    </row>
    <row r="86" spans="1:10" x14ac:dyDescent="0.35">
      <c r="A86" s="18"/>
      <c r="B86" s="18"/>
      <c r="C86" s="18" t="s">
        <v>222</v>
      </c>
      <c r="D86" s="1"/>
      <c r="E86" s="88" t="s">
        <v>593</v>
      </c>
      <c r="F86" s="18"/>
      <c r="G86" s="59" t="s">
        <v>253</v>
      </c>
      <c r="H86" s="59"/>
      <c r="I86" s="18"/>
      <c r="J86" s="18" t="s">
        <v>594</v>
      </c>
    </row>
    <row r="87" spans="1:10" x14ac:dyDescent="0.35">
      <c r="A87" s="18"/>
      <c r="B87" s="18"/>
      <c r="C87" s="18" t="s">
        <v>222</v>
      </c>
      <c r="D87" s="1"/>
      <c r="E87" s="88" t="s">
        <v>595</v>
      </c>
      <c r="F87" s="18"/>
      <c r="G87" s="59" t="s">
        <v>253</v>
      </c>
      <c r="H87" s="59"/>
      <c r="I87" s="18"/>
      <c r="J87" s="18" t="s">
        <v>596</v>
      </c>
    </row>
    <row r="88" spans="1:10" x14ac:dyDescent="0.35">
      <c r="A88" s="18"/>
      <c r="B88" s="18"/>
      <c r="C88" s="18" t="s">
        <v>222</v>
      </c>
      <c r="D88" s="1"/>
      <c r="E88" s="88" t="s">
        <v>597</v>
      </c>
      <c r="F88" s="18"/>
      <c r="G88" s="59" t="s">
        <v>253</v>
      </c>
      <c r="H88" s="59"/>
      <c r="I88" s="18"/>
      <c r="J88" s="84" t="s">
        <v>598</v>
      </c>
    </row>
    <row r="89" spans="1:10" x14ac:dyDescent="0.35">
      <c r="A89" s="18"/>
      <c r="B89" s="18"/>
      <c r="C89" s="18" t="s">
        <v>222</v>
      </c>
      <c r="D89" s="18" t="s">
        <v>599</v>
      </c>
      <c r="E89" s="88"/>
      <c r="F89" s="18"/>
      <c r="G89" s="59"/>
      <c r="H89" s="59"/>
      <c r="I89" s="18"/>
      <c r="J89" s="18"/>
    </row>
    <row r="90" spans="1:10" x14ac:dyDescent="0.35">
      <c r="A90" s="18"/>
      <c r="B90" s="18"/>
      <c r="C90" s="18" t="s">
        <v>222</v>
      </c>
      <c r="D90" s="1"/>
      <c r="E90" s="88" t="s">
        <v>600</v>
      </c>
      <c r="F90" s="18"/>
      <c r="G90" s="59" t="s">
        <v>253</v>
      </c>
      <c r="H90" s="59"/>
      <c r="I90" s="18"/>
      <c r="J90" s="18" t="s">
        <v>601</v>
      </c>
    </row>
    <row r="91" spans="1:10" x14ac:dyDescent="0.35">
      <c r="A91" s="18"/>
      <c r="B91" s="18"/>
      <c r="C91" s="18" t="s">
        <v>222</v>
      </c>
      <c r="D91" s="1"/>
      <c r="E91" s="88" t="s">
        <v>602</v>
      </c>
      <c r="F91" s="18"/>
      <c r="G91" s="59" t="s">
        <v>253</v>
      </c>
      <c r="H91" s="59"/>
      <c r="I91" s="18"/>
      <c r="J91" s="18" t="s">
        <v>603</v>
      </c>
    </row>
    <row r="92" spans="1:10" x14ac:dyDescent="0.35">
      <c r="A92" s="18"/>
      <c r="B92" s="18"/>
      <c r="C92" s="18" t="s">
        <v>222</v>
      </c>
      <c r="D92" s="1"/>
      <c r="E92" s="88" t="s">
        <v>604</v>
      </c>
      <c r="F92" s="18"/>
      <c r="G92" s="59" t="s">
        <v>253</v>
      </c>
      <c r="H92" s="59"/>
      <c r="I92" s="18"/>
      <c r="J92" s="18" t="s">
        <v>605</v>
      </c>
    </row>
    <row r="93" spans="1:10" x14ac:dyDescent="0.35">
      <c r="A93" s="18"/>
      <c r="B93" s="18"/>
      <c r="C93" s="18" t="s">
        <v>222</v>
      </c>
      <c r="D93" s="18" t="s">
        <v>606</v>
      </c>
      <c r="E93" s="88"/>
      <c r="F93" s="18"/>
      <c r="G93" s="59"/>
      <c r="H93" s="59"/>
      <c r="I93" s="18"/>
      <c r="J93" s="18"/>
    </row>
    <row r="94" spans="1:10" x14ac:dyDescent="0.35">
      <c r="A94" s="18"/>
      <c r="B94" s="18"/>
      <c r="C94" s="18" t="s">
        <v>222</v>
      </c>
      <c r="D94" s="1"/>
      <c r="E94" s="88" t="s">
        <v>600</v>
      </c>
      <c r="F94" s="18"/>
      <c r="G94" s="59" t="s">
        <v>253</v>
      </c>
      <c r="H94" s="59"/>
      <c r="I94" s="18"/>
      <c r="J94" s="18" t="s">
        <v>607</v>
      </c>
    </row>
    <row r="95" spans="1:10" x14ac:dyDescent="0.35">
      <c r="A95" s="18"/>
      <c r="B95" s="18"/>
      <c r="C95" s="18" t="s">
        <v>222</v>
      </c>
      <c r="D95" s="1"/>
      <c r="E95" s="88" t="s">
        <v>602</v>
      </c>
      <c r="F95" s="18"/>
      <c r="G95" s="59" t="s">
        <v>253</v>
      </c>
      <c r="H95" s="59"/>
      <c r="I95" s="18"/>
      <c r="J95" s="18" t="s">
        <v>608</v>
      </c>
    </row>
    <row r="96" spans="1:10" x14ac:dyDescent="0.35">
      <c r="A96" s="18"/>
      <c r="B96" s="18"/>
      <c r="C96" s="18" t="s">
        <v>222</v>
      </c>
      <c r="D96" s="1"/>
      <c r="E96" s="88" t="s">
        <v>604</v>
      </c>
      <c r="F96" s="18"/>
      <c r="G96" s="59" t="s">
        <v>253</v>
      </c>
      <c r="H96" s="59"/>
      <c r="I96" s="18"/>
      <c r="J96" s="18" t="s">
        <v>609</v>
      </c>
    </row>
    <row r="97" spans="1:10" x14ac:dyDescent="0.35">
      <c r="A97" s="18"/>
      <c r="B97" s="18"/>
      <c r="C97" s="18" t="s">
        <v>222</v>
      </c>
      <c r="D97" s="18" t="s">
        <v>610</v>
      </c>
      <c r="E97" s="88"/>
      <c r="F97" s="18"/>
      <c r="G97" s="59" t="s">
        <v>253</v>
      </c>
      <c r="H97" s="59"/>
      <c r="I97" s="18"/>
      <c r="J97" s="18"/>
    </row>
    <row r="98" spans="1:10" x14ac:dyDescent="0.35">
      <c r="A98" s="18"/>
      <c r="B98" s="18"/>
      <c r="C98" s="18" t="s">
        <v>222</v>
      </c>
      <c r="D98" s="18" t="s">
        <v>611</v>
      </c>
      <c r="E98" s="88"/>
      <c r="F98" s="18"/>
      <c r="G98" s="59"/>
      <c r="H98" s="59"/>
      <c r="I98" s="18"/>
      <c r="J98" s="18"/>
    </row>
    <row r="99" spans="1:10" x14ac:dyDescent="0.35">
      <c r="A99" s="18"/>
      <c r="B99" s="18"/>
      <c r="C99" s="18" t="s">
        <v>222</v>
      </c>
      <c r="D99" s="1"/>
      <c r="E99" s="88" t="s">
        <v>612</v>
      </c>
      <c r="F99" s="18"/>
      <c r="G99" s="59" t="s">
        <v>253</v>
      </c>
      <c r="H99" s="59"/>
      <c r="I99" s="18"/>
      <c r="J99" s="1" t="s">
        <v>613</v>
      </c>
    </row>
    <row r="100" spans="1:10" x14ac:dyDescent="0.35">
      <c r="A100" s="18"/>
      <c r="B100" s="18"/>
      <c r="C100" s="18" t="s">
        <v>222</v>
      </c>
      <c r="D100" s="1"/>
      <c r="E100" s="88" t="s">
        <v>614</v>
      </c>
      <c r="F100" s="18"/>
      <c r="G100" s="59" t="s">
        <v>253</v>
      </c>
      <c r="H100" s="59"/>
      <c r="I100" s="18"/>
      <c r="J100" s="18" t="s">
        <v>615</v>
      </c>
    </row>
    <row r="101" spans="1:10" x14ac:dyDescent="0.35">
      <c r="A101" s="18"/>
      <c r="B101" s="18"/>
      <c r="C101" s="18" t="s">
        <v>616</v>
      </c>
      <c r="D101" s="18" t="s">
        <v>617</v>
      </c>
      <c r="E101" s="88"/>
      <c r="F101" s="18"/>
      <c r="G101" s="59"/>
      <c r="H101" s="59"/>
      <c r="I101" s="18"/>
      <c r="J101" s="18"/>
    </row>
    <row r="102" spans="1:10" x14ac:dyDescent="0.35">
      <c r="A102" s="18"/>
      <c r="B102" s="18"/>
      <c r="C102" s="18" t="s">
        <v>616</v>
      </c>
      <c r="D102" s="85" t="s">
        <v>618</v>
      </c>
      <c r="E102" s="88"/>
      <c r="F102" s="18"/>
      <c r="G102" s="59"/>
      <c r="H102" s="59"/>
      <c r="I102" s="18"/>
      <c r="J102" s="18"/>
    </row>
    <row r="103" spans="1:10" x14ac:dyDescent="0.35">
      <c r="A103" s="18"/>
      <c r="B103" s="18"/>
      <c r="C103" s="18" t="s">
        <v>616</v>
      </c>
      <c r="D103" s="85" t="s">
        <v>618</v>
      </c>
      <c r="E103" s="88" t="s">
        <v>223</v>
      </c>
      <c r="F103" s="18"/>
      <c r="G103" s="59" t="s">
        <v>253</v>
      </c>
      <c r="H103" s="59"/>
      <c r="I103" s="18"/>
      <c r="J103" s="18" t="s">
        <v>418</v>
      </c>
    </row>
    <row r="104" spans="1:10" x14ac:dyDescent="0.35">
      <c r="A104" s="18"/>
      <c r="B104" s="18"/>
      <c r="C104" s="18" t="s">
        <v>616</v>
      </c>
      <c r="D104" s="85" t="s">
        <v>618</v>
      </c>
      <c r="E104" s="88" t="s">
        <v>154</v>
      </c>
      <c r="F104" s="18"/>
      <c r="G104" s="59" t="s">
        <v>253</v>
      </c>
      <c r="H104" s="59"/>
      <c r="I104" s="31" t="s">
        <v>420</v>
      </c>
      <c r="J104" s="18"/>
    </row>
    <row r="105" spans="1:10" x14ac:dyDescent="0.35">
      <c r="A105" s="18"/>
      <c r="B105" s="18"/>
      <c r="C105" s="18" t="s">
        <v>616</v>
      </c>
      <c r="D105" s="85" t="s">
        <v>618</v>
      </c>
      <c r="E105" s="88" t="s">
        <v>222</v>
      </c>
      <c r="F105" s="18"/>
      <c r="G105" s="59" t="s">
        <v>253</v>
      </c>
      <c r="H105" s="59"/>
      <c r="I105" s="18"/>
      <c r="J105" s="18" t="s">
        <v>412</v>
      </c>
    </row>
    <row r="106" spans="1:10" x14ac:dyDescent="0.35">
      <c r="A106" s="18"/>
      <c r="B106" s="18"/>
      <c r="C106" s="18" t="s">
        <v>616</v>
      </c>
      <c r="D106" s="85" t="s">
        <v>618</v>
      </c>
      <c r="E106" s="88" t="s">
        <v>413</v>
      </c>
      <c r="F106" s="18"/>
      <c r="G106" s="59" t="s">
        <v>253</v>
      </c>
      <c r="H106" s="59"/>
      <c r="I106" s="18"/>
      <c r="J106" s="18" t="s">
        <v>619</v>
      </c>
    </row>
    <row r="107" spans="1:10" x14ac:dyDescent="0.35">
      <c r="A107" s="18"/>
      <c r="B107" s="18"/>
      <c r="C107" s="18" t="s">
        <v>616</v>
      </c>
      <c r="D107" s="85" t="s">
        <v>618</v>
      </c>
      <c r="E107" s="88" t="s">
        <v>620</v>
      </c>
      <c r="F107" s="18"/>
      <c r="G107" s="59" t="s">
        <v>253</v>
      </c>
      <c r="H107" s="59"/>
      <c r="I107" s="18"/>
      <c r="J107" s="18" t="s">
        <v>621</v>
      </c>
    </row>
    <row r="108" spans="1:10" x14ac:dyDescent="0.35">
      <c r="A108" s="18"/>
      <c r="B108" s="18"/>
      <c r="C108" s="18" t="s">
        <v>616</v>
      </c>
      <c r="D108" s="85" t="s">
        <v>618</v>
      </c>
      <c r="E108" s="88" t="s">
        <v>180</v>
      </c>
      <c r="F108" s="18"/>
      <c r="G108" s="59" t="s">
        <v>253</v>
      </c>
      <c r="H108" s="59"/>
      <c r="I108" s="18"/>
      <c r="J108" s="18" t="s">
        <v>424</v>
      </c>
    </row>
    <row r="109" spans="1:10" ht="39.5" x14ac:dyDescent="0.35">
      <c r="A109" s="18"/>
      <c r="B109" s="18"/>
      <c r="C109" s="18" t="s">
        <v>616</v>
      </c>
      <c r="D109" s="85" t="s">
        <v>618</v>
      </c>
      <c r="E109" s="88" t="s">
        <v>425</v>
      </c>
      <c r="F109" s="18"/>
      <c r="G109" s="59" t="s">
        <v>253</v>
      </c>
      <c r="H109" s="59"/>
      <c r="I109" s="1"/>
      <c r="J109" s="22" t="s">
        <v>427</v>
      </c>
    </row>
    <row r="110" spans="1:10" ht="39.5" x14ac:dyDescent="0.35">
      <c r="A110" s="18"/>
      <c r="B110" s="18"/>
      <c r="C110" s="18" t="s">
        <v>616</v>
      </c>
      <c r="D110" s="85" t="s">
        <v>618</v>
      </c>
      <c r="E110" s="88" t="s">
        <v>429</v>
      </c>
      <c r="F110" s="18"/>
      <c r="G110" s="59" t="s">
        <v>253</v>
      </c>
      <c r="H110" s="59"/>
      <c r="I110" s="1"/>
      <c r="J110" s="22" t="s">
        <v>431</v>
      </c>
    </row>
    <row r="111" spans="1:10" x14ac:dyDescent="0.35">
      <c r="A111" s="18"/>
      <c r="B111" s="18"/>
      <c r="C111" s="18" t="s">
        <v>616</v>
      </c>
      <c r="D111" s="85" t="s">
        <v>618</v>
      </c>
      <c r="E111" s="88" t="s">
        <v>622</v>
      </c>
      <c r="F111" s="18"/>
      <c r="G111" s="59" t="s">
        <v>253</v>
      </c>
      <c r="H111" s="59"/>
      <c r="I111" s="1"/>
      <c r="J111" s="22" t="s">
        <v>435</v>
      </c>
    </row>
    <row r="112" spans="1:10" x14ac:dyDescent="0.35">
      <c r="A112" s="18"/>
      <c r="B112" s="18"/>
      <c r="C112" s="18" t="s">
        <v>616</v>
      </c>
      <c r="D112" s="18" t="s">
        <v>103</v>
      </c>
      <c r="E112" s="88"/>
      <c r="F112" s="18"/>
      <c r="G112" s="59"/>
      <c r="H112" s="59"/>
      <c r="I112" s="1"/>
      <c r="J112" s="18"/>
    </row>
    <row r="113" spans="1:10" ht="91.5" x14ac:dyDescent="0.35">
      <c r="A113" s="18"/>
      <c r="B113" s="18"/>
      <c r="C113" s="18" t="s">
        <v>616</v>
      </c>
      <c r="D113" s="18" t="s">
        <v>103</v>
      </c>
      <c r="E113" s="88" t="s">
        <v>438</v>
      </c>
      <c r="F113" s="18"/>
      <c r="G113" s="59"/>
      <c r="H113" s="59"/>
      <c r="I113" s="1"/>
      <c r="J113" s="64" t="s">
        <v>439</v>
      </c>
    </row>
    <row r="114" spans="1:10" x14ac:dyDescent="0.35">
      <c r="A114" s="18"/>
      <c r="B114" s="18"/>
      <c r="C114" s="18" t="s">
        <v>616</v>
      </c>
      <c r="D114" s="18" t="s">
        <v>103</v>
      </c>
      <c r="E114" s="88" t="s">
        <v>440</v>
      </c>
      <c r="F114" s="18"/>
      <c r="G114" s="59"/>
      <c r="H114" s="59"/>
      <c r="I114" s="1"/>
      <c r="J114" s="18" t="s">
        <v>442</v>
      </c>
    </row>
    <row r="115" spans="1:10" x14ac:dyDescent="0.35">
      <c r="A115" s="18"/>
      <c r="B115" s="18"/>
      <c r="C115" s="18" t="s">
        <v>616</v>
      </c>
      <c r="D115" s="18" t="s">
        <v>106</v>
      </c>
      <c r="E115" s="88" t="s">
        <v>444</v>
      </c>
      <c r="F115" s="18"/>
      <c r="G115" s="59"/>
      <c r="H115" s="59"/>
      <c r="I115" s="18"/>
      <c r="J115" s="18"/>
    </row>
    <row r="116" spans="1:10" x14ac:dyDescent="0.35">
      <c r="A116" s="18"/>
      <c r="B116" s="18"/>
      <c r="C116" s="18" t="s">
        <v>616</v>
      </c>
      <c r="D116" s="18" t="s">
        <v>106</v>
      </c>
      <c r="E116" s="88" t="s">
        <v>446</v>
      </c>
      <c r="F116" s="18"/>
      <c r="G116" s="59"/>
      <c r="H116" s="59"/>
      <c r="I116" s="18"/>
      <c r="J116" s="18" t="s">
        <v>623</v>
      </c>
    </row>
    <row r="117" spans="1:10" x14ac:dyDescent="0.35">
      <c r="A117" s="18"/>
      <c r="B117" s="18"/>
      <c r="C117" s="18" t="s">
        <v>616</v>
      </c>
      <c r="D117" s="18" t="s">
        <v>106</v>
      </c>
      <c r="E117" s="88" t="s">
        <v>449</v>
      </c>
      <c r="F117" s="18"/>
      <c r="G117" s="59"/>
      <c r="H117" s="59"/>
      <c r="I117" s="18"/>
      <c r="J117" s="18" t="s">
        <v>623</v>
      </c>
    </row>
    <row r="118" spans="1:10" x14ac:dyDescent="0.35">
      <c r="A118" s="18"/>
      <c r="B118" s="18"/>
      <c r="C118" s="18" t="s">
        <v>616</v>
      </c>
      <c r="D118" s="18" t="s">
        <v>106</v>
      </c>
      <c r="E118" s="88" t="s">
        <v>450</v>
      </c>
      <c r="F118" s="18"/>
      <c r="G118" s="59"/>
      <c r="H118" s="59"/>
      <c r="I118" s="18"/>
      <c r="J118" s="18" t="s">
        <v>623</v>
      </c>
    </row>
    <row r="119" spans="1:10" x14ac:dyDescent="0.35">
      <c r="A119" s="1"/>
      <c r="B119" s="1"/>
      <c r="C119" s="18" t="s">
        <v>616</v>
      </c>
      <c r="D119" s="18" t="s">
        <v>624</v>
      </c>
      <c r="E119" s="88" t="s">
        <v>451</v>
      </c>
      <c r="F119" s="1"/>
      <c r="G119" s="59" t="s">
        <v>253</v>
      </c>
      <c r="H119" s="86"/>
      <c r="I119" s="1"/>
      <c r="J119" s="18" t="s">
        <v>453</v>
      </c>
    </row>
    <row r="120" spans="1:10" x14ac:dyDescent="0.35">
      <c r="A120" s="1"/>
      <c r="B120" s="1"/>
      <c r="C120" s="18" t="s">
        <v>616</v>
      </c>
      <c r="D120" s="18" t="s">
        <v>624</v>
      </c>
      <c r="E120" s="88" t="s">
        <v>454</v>
      </c>
      <c r="F120" s="1"/>
      <c r="G120" s="59" t="s">
        <v>253</v>
      </c>
      <c r="H120" s="86"/>
      <c r="I120" s="1"/>
      <c r="J120" s="1"/>
    </row>
    <row r="121" spans="1:10" x14ac:dyDescent="0.35">
      <c r="A121" s="1"/>
      <c r="B121" s="1"/>
      <c r="C121" s="18" t="s">
        <v>616</v>
      </c>
      <c r="D121" s="1" t="s">
        <v>625</v>
      </c>
      <c r="E121" s="89"/>
      <c r="F121" s="1"/>
      <c r="G121" s="86"/>
      <c r="H121" s="86"/>
      <c r="I121" s="1"/>
      <c r="J121" s="1"/>
    </row>
    <row r="122" spans="1:10" x14ac:dyDescent="0.35">
      <c r="A122" s="1"/>
      <c r="B122" s="1"/>
      <c r="C122" s="18" t="s">
        <v>616</v>
      </c>
      <c r="D122" s="1" t="s">
        <v>625</v>
      </c>
      <c r="E122" s="89" t="s">
        <v>219</v>
      </c>
      <c r="F122" s="1"/>
      <c r="G122" s="59" t="s">
        <v>253</v>
      </c>
      <c r="H122" s="86"/>
      <c r="I122" s="1"/>
      <c r="J122" s="18" t="s">
        <v>460</v>
      </c>
    </row>
    <row r="123" spans="1:10" x14ac:dyDescent="0.35">
      <c r="A123" s="1"/>
      <c r="B123" s="1"/>
      <c r="C123" s="18" t="s">
        <v>616</v>
      </c>
      <c r="D123" s="1" t="s">
        <v>625</v>
      </c>
      <c r="E123" s="89" t="s">
        <v>180</v>
      </c>
      <c r="F123" s="1"/>
      <c r="G123" s="59" t="s">
        <v>253</v>
      </c>
      <c r="H123" s="86"/>
      <c r="I123" s="1"/>
      <c r="J123" s="18" t="s">
        <v>424</v>
      </c>
    </row>
    <row r="124" spans="1:10" x14ac:dyDescent="0.35">
      <c r="A124" s="1"/>
      <c r="B124" s="1"/>
      <c r="C124" s="18" t="s">
        <v>616</v>
      </c>
      <c r="D124" s="1" t="s">
        <v>625</v>
      </c>
      <c r="E124" s="89" t="s">
        <v>195</v>
      </c>
      <c r="F124" s="1"/>
      <c r="G124" s="59" t="s">
        <v>253</v>
      </c>
      <c r="H124" s="86"/>
      <c r="I124" s="1"/>
      <c r="J124" s="18" t="s">
        <v>626</v>
      </c>
    </row>
    <row r="125" spans="1:10" x14ac:dyDescent="0.35">
      <c r="A125" s="1"/>
      <c r="B125" s="1"/>
      <c r="C125" s="18" t="s">
        <v>616</v>
      </c>
      <c r="D125" s="1" t="s">
        <v>625</v>
      </c>
      <c r="E125" s="89" t="s">
        <v>627</v>
      </c>
      <c r="F125" s="1"/>
      <c r="G125" s="59" t="s">
        <v>253</v>
      </c>
      <c r="H125" s="86"/>
      <c r="I125" s="1"/>
      <c r="J125" s="18" t="s">
        <v>460</v>
      </c>
    </row>
    <row r="126" spans="1:10" x14ac:dyDescent="0.35">
      <c r="A126" s="1"/>
      <c r="B126" s="1"/>
      <c r="C126" s="18" t="s">
        <v>616</v>
      </c>
      <c r="D126" s="1" t="s">
        <v>625</v>
      </c>
      <c r="E126" s="89" t="s">
        <v>628</v>
      </c>
      <c r="F126" s="1"/>
      <c r="G126" s="59" t="s">
        <v>253</v>
      </c>
      <c r="H126" s="86"/>
      <c r="I126" s="1"/>
      <c r="J126" s="18" t="s">
        <v>626</v>
      </c>
    </row>
    <row r="127" spans="1:10" x14ac:dyDescent="0.35">
      <c r="A127" s="1"/>
      <c r="B127" s="1"/>
      <c r="C127" s="18" t="s">
        <v>616</v>
      </c>
      <c r="D127" s="1" t="s">
        <v>625</v>
      </c>
      <c r="E127" s="89" t="s">
        <v>489</v>
      </c>
      <c r="F127" s="1"/>
      <c r="G127" s="59" t="s">
        <v>253</v>
      </c>
      <c r="H127" s="86"/>
      <c r="I127" s="1"/>
      <c r="J127" s="18" t="s">
        <v>626</v>
      </c>
    </row>
    <row r="128" spans="1:10" x14ac:dyDescent="0.35">
      <c r="A128" s="1"/>
      <c r="B128" s="1"/>
      <c r="C128" s="18" t="s">
        <v>616</v>
      </c>
      <c r="D128" s="1" t="s">
        <v>625</v>
      </c>
      <c r="E128" s="89" t="s">
        <v>629</v>
      </c>
      <c r="F128" s="1"/>
      <c r="G128" s="59" t="s">
        <v>253</v>
      </c>
      <c r="H128" s="86"/>
      <c r="I128" s="1"/>
      <c r="J128" s="1"/>
    </row>
    <row r="129" spans="1:10" x14ac:dyDescent="0.35">
      <c r="A129" s="1"/>
      <c r="B129" s="1"/>
      <c r="C129" s="18" t="s">
        <v>616</v>
      </c>
      <c r="D129" s="1" t="s">
        <v>625</v>
      </c>
      <c r="E129" s="89" t="s">
        <v>630</v>
      </c>
      <c r="F129" s="1"/>
      <c r="G129" s="59" t="s">
        <v>253</v>
      </c>
      <c r="H129" s="86"/>
      <c r="I129" s="1"/>
      <c r="J129" s="18" t="s">
        <v>626</v>
      </c>
    </row>
    <row r="130" spans="1:10" x14ac:dyDescent="0.35">
      <c r="A130" s="1"/>
      <c r="B130" s="1"/>
      <c r="C130" s="18" t="s">
        <v>616</v>
      </c>
      <c r="D130" s="1" t="s">
        <v>625</v>
      </c>
      <c r="E130" s="89" t="s">
        <v>631</v>
      </c>
      <c r="F130" s="1"/>
      <c r="G130" s="59" t="s">
        <v>253</v>
      </c>
      <c r="H130" s="86"/>
      <c r="I130" s="1"/>
      <c r="J130" s="1" t="s">
        <v>613</v>
      </c>
    </row>
    <row r="131" spans="1:10" x14ac:dyDescent="0.35">
      <c r="A131" s="1"/>
      <c r="B131" s="1"/>
      <c r="C131" s="18" t="s">
        <v>616</v>
      </c>
      <c r="D131" s="1" t="s">
        <v>625</v>
      </c>
      <c r="E131" s="89" t="s">
        <v>632</v>
      </c>
      <c r="F131" s="1"/>
      <c r="G131" s="59" t="s">
        <v>253</v>
      </c>
      <c r="H131" s="86"/>
      <c r="I131" s="1"/>
      <c r="J131" s="18" t="s">
        <v>626</v>
      </c>
    </row>
    <row r="132" spans="1:10" x14ac:dyDescent="0.35">
      <c r="A132" s="1"/>
      <c r="B132" s="1"/>
      <c r="C132" s="18" t="s">
        <v>616</v>
      </c>
      <c r="D132" s="1" t="s">
        <v>625</v>
      </c>
      <c r="E132" s="89" t="s">
        <v>633</v>
      </c>
      <c r="F132" s="1"/>
      <c r="G132" s="59" t="s">
        <v>253</v>
      </c>
      <c r="H132" s="86"/>
      <c r="I132" s="1"/>
      <c r="J132" s="1"/>
    </row>
    <row r="133" spans="1:10" x14ac:dyDescent="0.35">
      <c r="A133" s="1"/>
      <c r="B133" s="1"/>
      <c r="C133" s="18" t="s">
        <v>616</v>
      </c>
      <c r="D133" s="1" t="s">
        <v>625</v>
      </c>
      <c r="E133" s="89" t="s">
        <v>630</v>
      </c>
      <c r="F133" s="1"/>
      <c r="G133" s="59" t="s">
        <v>253</v>
      </c>
      <c r="H133" s="86"/>
      <c r="I133" s="1"/>
      <c r="J133" s="18" t="s">
        <v>626</v>
      </c>
    </row>
    <row r="134" spans="1:10" x14ac:dyDescent="0.35">
      <c r="A134" s="1"/>
      <c r="B134" s="1"/>
      <c r="C134" s="18" t="s">
        <v>616</v>
      </c>
      <c r="D134" s="1" t="s">
        <v>625</v>
      </c>
      <c r="E134" s="89" t="s">
        <v>634</v>
      </c>
      <c r="F134" s="1"/>
      <c r="G134" s="59" t="s">
        <v>253</v>
      </c>
      <c r="H134" s="86"/>
      <c r="I134" s="1"/>
      <c r="J134" s="1"/>
    </row>
    <row r="135" spans="1:10" x14ac:dyDescent="0.35">
      <c r="A135" s="1"/>
      <c r="B135" s="1"/>
      <c r="C135" s="18" t="s">
        <v>616</v>
      </c>
      <c r="D135" s="1" t="s">
        <v>625</v>
      </c>
      <c r="E135" s="89" t="s">
        <v>635</v>
      </c>
      <c r="F135" s="1"/>
      <c r="G135" s="59" t="s">
        <v>253</v>
      </c>
      <c r="H135" s="86"/>
      <c r="I135" s="1"/>
      <c r="J135" s="1"/>
    </row>
    <row r="136" spans="1:10" x14ac:dyDescent="0.35">
      <c r="A136" s="1"/>
      <c r="B136" s="1"/>
      <c r="C136" s="18" t="s">
        <v>616</v>
      </c>
      <c r="D136" s="1" t="s">
        <v>625</v>
      </c>
      <c r="E136" s="89" t="s">
        <v>487</v>
      </c>
      <c r="F136" s="1"/>
      <c r="G136" s="59" t="s">
        <v>253</v>
      </c>
      <c r="H136" s="86"/>
      <c r="I136" s="1"/>
      <c r="J136" s="1"/>
    </row>
    <row r="137" spans="1:10" x14ac:dyDescent="0.35">
      <c r="A137" s="1"/>
      <c r="B137" s="1"/>
      <c r="C137" s="18" t="s">
        <v>616</v>
      </c>
      <c r="D137" s="1" t="s">
        <v>625</v>
      </c>
      <c r="E137" s="89" t="s">
        <v>195</v>
      </c>
      <c r="F137" s="1"/>
      <c r="G137" s="59" t="s">
        <v>253</v>
      </c>
      <c r="H137" s="86"/>
      <c r="I137" s="1"/>
      <c r="J137" s="1"/>
    </row>
    <row r="138" spans="1:10" x14ac:dyDescent="0.35">
      <c r="A138" s="1"/>
      <c r="B138" s="1"/>
      <c r="C138" s="18" t="s">
        <v>616</v>
      </c>
      <c r="D138" s="1" t="s">
        <v>625</v>
      </c>
      <c r="E138" s="89" t="s">
        <v>454</v>
      </c>
      <c r="F138" s="1"/>
      <c r="G138" s="59" t="s">
        <v>253</v>
      </c>
      <c r="H138" s="86"/>
      <c r="I138" s="1"/>
      <c r="J138" s="1"/>
    </row>
    <row r="139" spans="1:10" x14ac:dyDescent="0.35">
      <c r="A139" s="1"/>
      <c r="B139" s="1"/>
      <c r="C139" s="18" t="s">
        <v>616</v>
      </c>
      <c r="D139" s="1" t="s">
        <v>632</v>
      </c>
      <c r="E139" s="89"/>
      <c r="F139" s="1"/>
      <c r="G139" s="86"/>
      <c r="H139" s="86"/>
      <c r="I139" s="1"/>
      <c r="J139" s="1"/>
    </row>
    <row r="140" spans="1:10" x14ac:dyDescent="0.35">
      <c r="A140" s="1"/>
      <c r="B140" s="1"/>
      <c r="C140" s="18" t="s">
        <v>616</v>
      </c>
      <c r="D140" s="1" t="s">
        <v>632</v>
      </c>
      <c r="E140" s="89" t="s">
        <v>636</v>
      </c>
      <c r="F140" s="1"/>
      <c r="G140" s="86" t="s">
        <v>501</v>
      </c>
      <c r="H140" s="86"/>
      <c r="I140" s="1"/>
      <c r="J140" s="1"/>
    </row>
    <row r="141" spans="1:10" x14ac:dyDescent="0.35">
      <c r="A141" s="1"/>
      <c r="B141" s="1"/>
      <c r="C141" s="18" t="s">
        <v>616</v>
      </c>
      <c r="D141" s="1" t="s">
        <v>632</v>
      </c>
      <c r="E141" s="89" t="s">
        <v>500</v>
      </c>
      <c r="F141" s="1"/>
      <c r="G141" s="86" t="s">
        <v>501</v>
      </c>
      <c r="H141" s="86"/>
      <c r="I141" s="1"/>
      <c r="J141" s="1"/>
    </row>
    <row r="142" spans="1:10" x14ac:dyDescent="0.35">
      <c r="A142" s="1"/>
      <c r="B142" s="1"/>
      <c r="C142" s="18" t="s">
        <v>616</v>
      </c>
      <c r="D142" s="1" t="s">
        <v>632</v>
      </c>
      <c r="E142" s="89" t="s">
        <v>504</v>
      </c>
      <c r="F142" s="1"/>
      <c r="G142" s="86" t="s">
        <v>501</v>
      </c>
      <c r="H142" s="86"/>
      <c r="I142" s="1"/>
      <c r="J142" s="1"/>
    </row>
    <row r="143" spans="1:10" x14ac:dyDescent="0.35">
      <c r="A143" s="1"/>
      <c r="B143" s="1"/>
      <c r="C143" s="18" t="s">
        <v>616</v>
      </c>
      <c r="D143" s="1" t="s">
        <v>632</v>
      </c>
      <c r="E143" s="89" t="s">
        <v>633</v>
      </c>
      <c r="F143" s="1"/>
      <c r="G143" s="86" t="s">
        <v>501</v>
      </c>
      <c r="H143" s="86"/>
      <c r="I143" s="1"/>
      <c r="J143" s="1"/>
    </row>
    <row r="144" spans="1:10" x14ac:dyDescent="0.35">
      <c r="A144" s="1"/>
      <c r="B144" s="1"/>
      <c r="C144" s="18" t="s">
        <v>616</v>
      </c>
      <c r="D144" s="1" t="s">
        <v>118</v>
      </c>
      <c r="E144" s="89"/>
      <c r="F144" s="1"/>
      <c r="G144" s="86"/>
      <c r="H144" s="86"/>
      <c r="I144" s="1"/>
      <c r="J144" s="1"/>
    </row>
    <row r="145" spans="1:10" x14ac:dyDescent="0.35">
      <c r="A145" s="1"/>
      <c r="B145" s="1"/>
      <c r="C145" s="18" t="s">
        <v>616</v>
      </c>
      <c r="D145" s="1" t="s">
        <v>118</v>
      </c>
      <c r="E145" s="89" t="s">
        <v>637</v>
      </c>
      <c r="F145" s="1"/>
      <c r="G145" s="86" t="s">
        <v>253</v>
      </c>
      <c r="H145" s="86"/>
      <c r="I145" s="1"/>
      <c r="J145" s="1"/>
    </row>
    <row r="146" spans="1:10" x14ac:dyDescent="0.35">
      <c r="A146" s="1"/>
      <c r="B146" s="1"/>
      <c r="C146" s="18" t="s">
        <v>616</v>
      </c>
      <c r="D146" s="1" t="s">
        <v>118</v>
      </c>
      <c r="E146" s="89" t="s">
        <v>232</v>
      </c>
      <c r="F146" s="1"/>
      <c r="G146" s="86" t="s">
        <v>253</v>
      </c>
      <c r="H146" s="86"/>
      <c r="I146" s="1"/>
      <c r="J146" s="1"/>
    </row>
    <row r="147" spans="1:10" x14ac:dyDescent="0.35">
      <c r="A147" s="1"/>
      <c r="B147" s="1"/>
      <c r="C147" s="18" t="s">
        <v>616</v>
      </c>
      <c r="D147" s="1" t="s">
        <v>118</v>
      </c>
      <c r="E147" s="89" t="s">
        <v>638</v>
      </c>
      <c r="F147" s="1"/>
      <c r="G147" s="86"/>
      <c r="H147" s="86"/>
      <c r="I147" s="1"/>
      <c r="J147" s="1"/>
    </row>
    <row r="148" spans="1:10" x14ac:dyDescent="0.35">
      <c r="A148" s="1"/>
      <c r="B148" s="1"/>
      <c r="C148" s="18" t="s">
        <v>616</v>
      </c>
      <c r="D148" s="1" t="s">
        <v>118</v>
      </c>
      <c r="E148" s="89" t="s">
        <v>521</v>
      </c>
      <c r="F148" s="1"/>
      <c r="G148" s="86" t="s">
        <v>253</v>
      </c>
      <c r="H148" s="86"/>
      <c r="I148" s="1"/>
      <c r="J148" s="1"/>
    </row>
    <row r="149" spans="1:10" x14ac:dyDescent="0.35">
      <c r="A149" s="1"/>
      <c r="B149" s="1"/>
      <c r="C149" s="18" t="s">
        <v>616</v>
      </c>
      <c r="D149" s="1" t="s">
        <v>118</v>
      </c>
      <c r="E149" s="89" t="s">
        <v>639</v>
      </c>
      <c r="F149" s="1"/>
      <c r="G149" s="86" t="s">
        <v>253</v>
      </c>
      <c r="H149" s="86"/>
      <c r="I149" s="1"/>
      <c r="J149" s="1"/>
    </row>
    <row r="150" spans="1:10" x14ac:dyDescent="0.35">
      <c r="A150" s="1"/>
      <c r="B150" s="1"/>
      <c r="C150" s="18" t="s">
        <v>616</v>
      </c>
      <c r="D150" s="1" t="s">
        <v>118</v>
      </c>
      <c r="E150" s="89" t="s">
        <v>640</v>
      </c>
      <c r="F150" s="1"/>
      <c r="G150" s="86" t="s">
        <v>253</v>
      </c>
      <c r="H150" s="86"/>
      <c r="I150" s="1"/>
      <c r="J150" s="1"/>
    </row>
    <row r="151" spans="1:10" x14ac:dyDescent="0.35">
      <c r="A151" s="1"/>
      <c r="B151" s="1"/>
      <c r="C151" s="18" t="s">
        <v>616</v>
      </c>
      <c r="D151" s="1" t="s">
        <v>118</v>
      </c>
      <c r="E151" s="89" t="s">
        <v>524</v>
      </c>
      <c r="F151" s="1"/>
      <c r="G151" s="86" t="s">
        <v>253</v>
      </c>
      <c r="H151" s="86"/>
      <c r="I151" s="1"/>
      <c r="J151" s="1"/>
    </row>
    <row r="152" spans="1:10" x14ac:dyDescent="0.35">
      <c r="A152" s="1"/>
      <c r="B152" s="1"/>
      <c r="C152" s="18" t="s">
        <v>616</v>
      </c>
      <c r="D152" s="1" t="s">
        <v>118</v>
      </c>
      <c r="E152" s="89" t="s">
        <v>48</v>
      </c>
      <c r="F152" s="1"/>
      <c r="G152" s="86" t="s">
        <v>253</v>
      </c>
      <c r="H152" s="86"/>
      <c r="I152" s="1"/>
      <c r="J152" s="1"/>
    </row>
    <row r="153" spans="1:10" x14ac:dyDescent="0.35">
      <c r="A153" s="1"/>
      <c r="B153" s="1"/>
      <c r="C153" s="18" t="s">
        <v>616</v>
      </c>
      <c r="D153" s="1" t="s">
        <v>118</v>
      </c>
      <c r="E153" s="89" t="s">
        <v>641</v>
      </c>
      <c r="F153" s="1"/>
      <c r="G153" s="86" t="s">
        <v>253</v>
      </c>
      <c r="H153" s="86"/>
      <c r="I153" s="1"/>
      <c r="J153" s="1"/>
    </row>
    <row r="154" spans="1:10" x14ac:dyDescent="0.35">
      <c r="A154" s="1"/>
      <c r="B154" s="1"/>
      <c r="C154" s="18" t="s">
        <v>616</v>
      </c>
      <c r="D154" s="1" t="s">
        <v>118</v>
      </c>
      <c r="E154" s="89" t="s">
        <v>642</v>
      </c>
      <c r="F154" s="1"/>
      <c r="G154" s="86"/>
      <c r="H154" s="86"/>
      <c r="I154" s="1"/>
      <c r="J154" s="1"/>
    </row>
    <row r="155" spans="1:10" x14ac:dyDescent="0.35">
      <c r="A155" s="1"/>
      <c r="B155" s="1"/>
      <c r="C155" s="18" t="s">
        <v>616</v>
      </c>
      <c r="D155" s="1" t="s">
        <v>118</v>
      </c>
      <c r="E155" s="89" t="s">
        <v>643</v>
      </c>
      <c r="F155" s="1"/>
      <c r="G155" s="86" t="s">
        <v>253</v>
      </c>
      <c r="H155" s="86"/>
      <c r="I155" s="1"/>
      <c r="J155" s="1"/>
    </row>
    <row r="156" spans="1:10" x14ac:dyDescent="0.35">
      <c r="A156" s="1"/>
      <c r="B156" s="1"/>
      <c r="C156" s="18" t="s">
        <v>616</v>
      </c>
      <c r="D156" s="1" t="s">
        <v>118</v>
      </c>
      <c r="E156" s="89" t="s">
        <v>523</v>
      </c>
      <c r="F156" s="1"/>
      <c r="G156" s="86" t="s">
        <v>253</v>
      </c>
      <c r="H156" s="86"/>
      <c r="I156" s="1"/>
      <c r="J156" s="1"/>
    </row>
    <row r="157" spans="1:10" x14ac:dyDescent="0.35">
      <c r="A157" s="1"/>
      <c r="B157" s="1"/>
      <c r="C157" s="18" t="s">
        <v>616</v>
      </c>
      <c r="D157" s="1" t="s">
        <v>118</v>
      </c>
      <c r="E157" s="89" t="s">
        <v>644</v>
      </c>
      <c r="F157" s="1"/>
      <c r="G157" s="86"/>
      <c r="H157" s="86"/>
      <c r="I157" s="1"/>
      <c r="J157" s="1"/>
    </row>
    <row r="158" spans="1:10" x14ac:dyDescent="0.35">
      <c r="A158" s="1"/>
      <c r="B158" s="1"/>
      <c r="C158" s="18" t="s">
        <v>616</v>
      </c>
      <c r="D158" s="1" t="s">
        <v>118</v>
      </c>
      <c r="E158" s="89" t="s">
        <v>645</v>
      </c>
      <c r="F158" s="1"/>
      <c r="G158" s="86" t="s">
        <v>253</v>
      </c>
      <c r="H158" s="86"/>
      <c r="I158" s="30" t="s">
        <v>516</v>
      </c>
      <c r="J158" s="1"/>
    </row>
    <row r="159" spans="1:10" x14ac:dyDescent="0.35">
      <c r="A159" s="1"/>
      <c r="B159" s="1"/>
      <c r="C159" s="18" t="s">
        <v>616</v>
      </c>
      <c r="D159" s="1" t="s">
        <v>118</v>
      </c>
      <c r="E159" s="89" t="s">
        <v>646</v>
      </c>
      <c r="F159" s="1"/>
      <c r="G159" s="86" t="s">
        <v>253</v>
      </c>
      <c r="H159" s="86"/>
      <c r="I159" s="1"/>
      <c r="J159" s="1"/>
    </row>
    <row r="160" spans="1:10" x14ac:dyDescent="0.35">
      <c r="A160" s="1"/>
      <c r="B160" s="1"/>
      <c r="C160" s="18" t="s">
        <v>616</v>
      </c>
      <c r="D160" s="1" t="s">
        <v>647</v>
      </c>
      <c r="E160" s="89"/>
      <c r="F160" s="1"/>
      <c r="G160" s="86"/>
      <c r="H160" s="86"/>
      <c r="I160" s="1"/>
      <c r="J160" s="1"/>
    </row>
    <row r="161" spans="1:10" x14ac:dyDescent="0.35">
      <c r="A161" s="1"/>
      <c r="B161" s="1"/>
      <c r="C161" s="18" t="s">
        <v>616</v>
      </c>
      <c r="D161" s="1" t="s">
        <v>647</v>
      </c>
      <c r="E161" s="89" t="s">
        <v>547</v>
      </c>
      <c r="F161" s="1"/>
      <c r="G161" s="86" t="s">
        <v>253</v>
      </c>
      <c r="H161" s="86"/>
      <c r="I161" s="1"/>
      <c r="J161" s="18" t="s">
        <v>548</v>
      </c>
    </row>
    <row r="162" spans="1:10" x14ac:dyDescent="0.35">
      <c r="A162" s="1"/>
      <c r="B162" s="1"/>
      <c r="C162" s="18" t="s">
        <v>616</v>
      </c>
      <c r="D162" s="1" t="s">
        <v>647</v>
      </c>
      <c r="E162" s="89" t="s">
        <v>549</v>
      </c>
      <c r="F162" s="1"/>
      <c r="G162" s="86" t="s">
        <v>253</v>
      </c>
      <c r="H162" s="86"/>
      <c r="I162" s="1"/>
      <c r="J162" s="1"/>
    </row>
    <row r="163" spans="1:10" x14ac:dyDescent="0.35">
      <c r="A163" s="1"/>
      <c r="B163" s="1"/>
      <c r="C163" s="18" t="s">
        <v>616</v>
      </c>
      <c r="D163" s="1" t="s">
        <v>647</v>
      </c>
      <c r="E163" s="89" t="s">
        <v>551</v>
      </c>
      <c r="F163" s="1"/>
      <c r="G163" s="86"/>
      <c r="H163" s="86"/>
      <c r="I163" s="1"/>
      <c r="J163" s="18" t="s">
        <v>552</v>
      </c>
    </row>
    <row r="164" spans="1:10" x14ac:dyDescent="0.35">
      <c r="A164" s="1"/>
      <c r="B164" s="1"/>
      <c r="C164" s="18" t="s">
        <v>616</v>
      </c>
      <c r="D164" s="1" t="s">
        <v>648</v>
      </c>
      <c r="E164" s="89"/>
      <c r="F164" s="1"/>
      <c r="G164" s="86" t="s">
        <v>253</v>
      </c>
      <c r="H164" s="86"/>
      <c r="I164" s="1"/>
      <c r="J164" s="1" t="s">
        <v>560</v>
      </c>
    </row>
    <row r="165" spans="1:10" x14ac:dyDescent="0.35">
      <c r="A165" s="1"/>
      <c r="B165" s="1"/>
      <c r="C165" s="18" t="s">
        <v>616</v>
      </c>
      <c r="D165" s="1" t="s">
        <v>564</v>
      </c>
      <c r="E165" s="89"/>
      <c r="F165" s="1"/>
      <c r="G165" s="86" t="s">
        <v>253</v>
      </c>
      <c r="H165" s="86"/>
      <c r="I165" s="1"/>
      <c r="J165" s="1"/>
    </row>
    <row r="166" spans="1:10" x14ac:dyDescent="0.35">
      <c r="A166" s="1"/>
      <c r="B166" s="1"/>
      <c r="C166" s="18" t="s">
        <v>616</v>
      </c>
      <c r="D166" s="1" t="s">
        <v>575</v>
      </c>
      <c r="E166" s="89"/>
      <c r="F166" s="1"/>
      <c r="G166" s="86" t="s">
        <v>253</v>
      </c>
      <c r="H166" s="86"/>
      <c r="I166" s="1"/>
      <c r="J166" s="1"/>
    </row>
    <row r="167" spans="1:10" x14ac:dyDescent="0.35">
      <c r="A167" s="1"/>
      <c r="B167" s="1"/>
      <c r="C167" s="18" t="s">
        <v>616</v>
      </c>
      <c r="D167" s="1" t="s">
        <v>578</v>
      </c>
      <c r="E167" s="89"/>
      <c r="F167" s="1"/>
      <c r="G167" s="86" t="s">
        <v>253</v>
      </c>
      <c r="H167" s="86"/>
      <c r="I167" s="1"/>
      <c r="J167" s="1"/>
    </row>
    <row r="168" spans="1:10" x14ac:dyDescent="0.35">
      <c r="A168" s="1"/>
      <c r="B168" s="1"/>
      <c r="C168" s="18" t="s">
        <v>616</v>
      </c>
      <c r="D168" s="1" t="s">
        <v>144</v>
      </c>
      <c r="E168" s="89"/>
      <c r="F168" s="1"/>
      <c r="G168" s="86" t="s">
        <v>253</v>
      </c>
      <c r="H168" s="86"/>
      <c r="I168" s="1"/>
      <c r="J168" s="1"/>
    </row>
  </sheetData>
  <autoFilter ref="A2:J2" xr:uid="{A35A4058-F5A9-47AC-B307-8814462A0EE2}"/>
  <mergeCells count="3">
    <mergeCell ref="A1:A2"/>
    <mergeCell ref="B1:B2"/>
    <mergeCell ref="C1:I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0672-31D4-4A6A-A030-550B36A54D4A}">
  <dimension ref="A1:H79"/>
  <sheetViews>
    <sheetView workbookViewId="0"/>
  </sheetViews>
  <sheetFormatPr defaultRowHeight="14.5" x14ac:dyDescent="0.35"/>
  <cols>
    <col min="1" max="1" width="13.453125" bestFit="1" customWidth="1"/>
    <col min="4" max="4" width="21.54296875" bestFit="1" customWidth="1"/>
    <col min="5" max="5" width="29.26953125" customWidth="1"/>
    <col min="6" max="6" width="27.1796875" customWidth="1"/>
    <col min="7" max="7" width="27.453125" bestFit="1" customWidth="1"/>
    <col min="8" max="8" width="28.81640625" customWidth="1"/>
  </cols>
  <sheetData>
    <row r="1" spans="1:8" x14ac:dyDescent="0.35">
      <c r="A1" s="23" t="s">
        <v>399</v>
      </c>
      <c r="B1" s="23" t="s">
        <v>649</v>
      </c>
      <c r="C1" s="23" t="s">
        <v>650</v>
      </c>
      <c r="D1" s="23" t="s">
        <v>651</v>
      </c>
      <c r="E1" s="23" t="s">
        <v>652</v>
      </c>
      <c r="F1" s="23" t="s">
        <v>653</v>
      </c>
      <c r="G1" s="23" t="s">
        <v>654</v>
      </c>
      <c r="H1" s="23" t="s">
        <v>406</v>
      </c>
    </row>
    <row r="2" spans="1:8" x14ac:dyDescent="0.35">
      <c r="A2" s="24" t="s">
        <v>655</v>
      </c>
      <c r="B2" s="24" t="s">
        <v>656</v>
      </c>
      <c r="C2" s="24"/>
      <c r="D2" s="24"/>
      <c r="E2" s="24" t="s">
        <v>657</v>
      </c>
      <c r="F2" s="24"/>
      <c r="G2" s="24" t="s">
        <v>658</v>
      </c>
    </row>
    <row r="3" spans="1:8" x14ac:dyDescent="0.35">
      <c r="A3" s="24"/>
      <c r="B3" s="24"/>
      <c r="C3" s="24"/>
      <c r="D3" s="24"/>
      <c r="E3" s="24" t="s">
        <v>659</v>
      </c>
      <c r="F3" s="24" t="s">
        <v>659</v>
      </c>
      <c r="G3" s="24" t="s">
        <v>658</v>
      </c>
    </row>
    <row r="4" spans="1:8" x14ac:dyDescent="0.35">
      <c r="A4" s="24"/>
      <c r="B4" s="24"/>
      <c r="C4" s="24"/>
      <c r="D4" s="24"/>
      <c r="E4" s="24" t="s">
        <v>163</v>
      </c>
      <c r="F4" s="24" t="s">
        <v>163</v>
      </c>
      <c r="G4" s="24" t="s">
        <v>658</v>
      </c>
    </row>
    <row r="5" spans="1:8" x14ac:dyDescent="0.35">
      <c r="A5" s="24"/>
      <c r="B5" s="24"/>
      <c r="C5" s="24"/>
      <c r="D5" s="24"/>
      <c r="E5" s="24" t="s">
        <v>660</v>
      </c>
      <c r="F5" s="24" t="s">
        <v>660</v>
      </c>
      <c r="G5" s="24" t="s">
        <v>658</v>
      </c>
    </row>
    <row r="6" spans="1:8" x14ac:dyDescent="0.35">
      <c r="A6" s="24"/>
      <c r="B6" s="24"/>
      <c r="C6" s="24"/>
      <c r="D6" s="24"/>
      <c r="E6" s="24" t="s">
        <v>414</v>
      </c>
      <c r="F6" s="24" t="s">
        <v>661</v>
      </c>
      <c r="G6" s="24" t="s">
        <v>658</v>
      </c>
    </row>
    <row r="7" spans="1:8" x14ac:dyDescent="0.35">
      <c r="A7" s="25" t="s">
        <v>662</v>
      </c>
      <c r="B7" s="25" t="s">
        <v>663</v>
      </c>
      <c r="C7" s="25" t="s">
        <v>663</v>
      </c>
      <c r="D7" s="25"/>
      <c r="E7" s="25" t="s">
        <v>199</v>
      </c>
      <c r="F7" s="25" t="s">
        <v>158</v>
      </c>
      <c r="G7" s="25" t="s">
        <v>664</v>
      </c>
    </row>
    <row r="8" spans="1:8" x14ac:dyDescent="0.35">
      <c r="A8" s="25"/>
      <c r="B8" s="25"/>
      <c r="C8" s="25"/>
      <c r="D8" s="25"/>
      <c r="E8" s="25" t="s">
        <v>665</v>
      </c>
      <c r="F8" s="25"/>
      <c r="G8" s="25" t="s">
        <v>658</v>
      </c>
    </row>
    <row r="9" spans="1:8" x14ac:dyDescent="0.35">
      <c r="A9" s="25"/>
      <c r="B9" s="25"/>
      <c r="C9" s="25"/>
      <c r="D9" s="25" t="s">
        <v>201</v>
      </c>
      <c r="E9" s="25" t="s">
        <v>162</v>
      </c>
      <c r="F9" s="25" t="s">
        <v>162</v>
      </c>
      <c r="G9" s="25" t="s">
        <v>664</v>
      </c>
    </row>
    <row r="10" spans="1:8" x14ac:dyDescent="0.35">
      <c r="A10" s="25"/>
      <c r="B10" s="25"/>
      <c r="C10" s="25"/>
      <c r="D10" s="25" t="s">
        <v>195</v>
      </c>
      <c r="E10" s="25" t="s">
        <v>666</v>
      </c>
      <c r="F10" s="25"/>
      <c r="G10" s="25" t="s">
        <v>664</v>
      </c>
    </row>
    <row r="11" spans="1:8" x14ac:dyDescent="0.35">
      <c r="A11" s="25"/>
      <c r="B11" s="25"/>
      <c r="C11" s="25"/>
      <c r="D11" s="25"/>
      <c r="E11" s="25" t="s">
        <v>202</v>
      </c>
      <c r="F11" s="25" t="s">
        <v>161</v>
      </c>
      <c r="G11" s="25" t="s">
        <v>664</v>
      </c>
    </row>
    <row r="12" spans="1:8" x14ac:dyDescent="0.35">
      <c r="A12" s="25"/>
      <c r="B12" s="25"/>
      <c r="C12" s="25"/>
      <c r="D12" s="25"/>
      <c r="E12" s="25" t="s">
        <v>180</v>
      </c>
      <c r="F12" s="25" t="s">
        <v>180</v>
      </c>
      <c r="G12" s="25" t="s">
        <v>664</v>
      </c>
    </row>
    <row r="13" spans="1:8" x14ac:dyDescent="0.35">
      <c r="A13" s="25"/>
      <c r="B13" s="25"/>
      <c r="C13" s="25"/>
      <c r="D13" s="25"/>
      <c r="E13" s="25" t="s">
        <v>667</v>
      </c>
      <c r="F13" s="25" t="s">
        <v>668</v>
      </c>
      <c r="G13" s="25" t="s">
        <v>664</v>
      </c>
    </row>
    <row r="14" spans="1:8" x14ac:dyDescent="0.35">
      <c r="A14" s="25"/>
      <c r="B14" s="25"/>
      <c r="C14" s="25"/>
      <c r="D14" s="25"/>
      <c r="E14" s="25" t="s">
        <v>669</v>
      </c>
      <c r="F14" s="25" t="s">
        <v>669</v>
      </c>
      <c r="G14" s="25" t="s">
        <v>664</v>
      </c>
    </row>
    <row r="15" spans="1:8" x14ac:dyDescent="0.35">
      <c r="A15" s="25"/>
      <c r="B15" s="25"/>
      <c r="C15" s="25"/>
      <c r="D15" s="25" t="s">
        <v>670</v>
      </c>
      <c r="E15" s="25" t="s">
        <v>670</v>
      </c>
      <c r="F15" s="25" t="s">
        <v>671</v>
      </c>
      <c r="G15" s="25" t="s">
        <v>664</v>
      </c>
    </row>
    <row r="16" spans="1:8" x14ac:dyDescent="0.35">
      <c r="A16" s="25"/>
      <c r="B16" s="25"/>
      <c r="C16" s="25"/>
      <c r="D16" s="25" t="s">
        <v>672</v>
      </c>
      <c r="E16" s="25" t="s">
        <v>672</v>
      </c>
      <c r="F16" s="25"/>
      <c r="G16" s="25" t="s">
        <v>664</v>
      </c>
    </row>
    <row r="17" spans="1:7" x14ac:dyDescent="0.35">
      <c r="A17" s="25"/>
      <c r="B17" s="25"/>
      <c r="C17" s="25"/>
      <c r="D17" s="25" t="s">
        <v>261</v>
      </c>
      <c r="E17" s="25" t="s">
        <v>195</v>
      </c>
      <c r="F17" s="25" t="s">
        <v>673</v>
      </c>
      <c r="G17" s="25" t="s">
        <v>664</v>
      </c>
    </row>
    <row r="18" spans="1:7" x14ac:dyDescent="0.35">
      <c r="A18" s="25"/>
      <c r="B18" s="25"/>
      <c r="C18" s="25"/>
      <c r="D18" s="25"/>
      <c r="E18" s="25" t="s">
        <v>674</v>
      </c>
      <c r="F18" s="25"/>
      <c r="G18" s="25" t="s">
        <v>664</v>
      </c>
    </row>
    <row r="19" spans="1:7" x14ac:dyDescent="0.35">
      <c r="A19" s="25"/>
      <c r="B19" s="25"/>
      <c r="C19" s="25"/>
      <c r="D19" s="25"/>
      <c r="E19" s="25" t="s">
        <v>675</v>
      </c>
      <c r="F19" s="25"/>
      <c r="G19" s="25" t="s">
        <v>664</v>
      </c>
    </row>
    <row r="20" spans="1:7" x14ac:dyDescent="0.35">
      <c r="A20" s="25"/>
      <c r="B20" s="25"/>
      <c r="C20" s="25"/>
      <c r="D20" s="25" t="s">
        <v>676</v>
      </c>
      <c r="E20" s="25" t="s">
        <v>676</v>
      </c>
      <c r="F20" s="25" t="s">
        <v>205</v>
      </c>
      <c r="G20" s="25" t="s">
        <v>664</v>
      </c>
    </row>
    <row r="21" spans="1:7" x14ac:dyDescent="0.35">
      <c r="A21" s="25"/>
      <c r="B21" s="25"/>
      <c r="C21" s="25" t="s">
        <v>677</v>
      </c>
      <c r="D21" s="25" t="s">
        <v>201</v>
      </c>
      <c r="E21" s="25" t="s">
        <v>678</v>
      </c>
      <c r="F21" s="25" t="s">
        <v>162</v>
      </c>
      <c r="G21" s="25" t="s">
        <v>664</v>
      </c>
    </row>
    <row r="22" spans="1:7" x14ac:dyDescent="0.35">
      <c r="A22" s="25"/>
      <c r="B22" s="25"/>
      <c r="C22" s="25"/>
      <c r="D22" s="25"/>
      <c r="E22" s="25" t="s">
        <v>679</v>
      </c>
      <c r="F22" s="25"/>
      <c r="G22" s="25" t="s">
        <v>664</v>
      </c>
    </row>
    <row r="23" spans="1:7" x14ac:dyDescent="0.35">
      <c r="A23" s="25"/>
      <c r="B23" s="25"/>
      <c r="C23" s="25"/>
      <c r="D23" s="25"/>
      <c r="E23" s="25" t="s">
        <v>680</v>
      </c>
      <c r="F23" s="25"/>
      <c r="G23" s="25" t="s">
        <v>664</v>
      </c>
    </row>
    <row r="24" spans="1:7" x14ac:dyDescent="0.35">
      <c r="A24" s="25"/>
      <c r="B24" s="25"/>
      <c r="C24" s="25"/>
      <c r="D24" s="25"/>
      <c r="E24" s="25" t="s">
        <v>681</v>
      </c>
      <c r="F24" s="25"/>
      <c r="G24" s="25" t="s">
        <v>664</v>
      </c>
    </row>
    <row r="25" spans="1:7" x14ac:dyDescent="0.35">
      <c r="A25" s="25"/>
      <c r="B25" s="25"/>
      <c r="C25" s="25"/>
      <c r="D25" s="25"/>
      <c r="E25" s="25" t="s">
        <v>682</v>
      </c>
      <c r="F25" s="25"/>
      <c r="G25" s="25" t="s">
        <v>664</v>
      </c>
    </row>
    <row r="26" spans="1:7" x14ac:dyDescent="0.35">
      <c r="A26" s="25"/>
      <c r="B26" s="25"/>
      <c r="C26" s="25"/>
      <c r="D26" s="25"/>
      <c r="E26" s="25" t="s">
        <v>683</v>
      </c>
      <c r="F26" s="25" t="s">
        <v>162</v>
      </c>
      <c r="G26" s="25" t="s">
        <v>664</v>
      </c>
    </row>
    <row r="27" spans="1:7" x14ac:dyDescent="0.35">
      <c r="A27" s="25"/>
      <c r="B27" s="25"/>
      <c r="C27" s="25"/>
      <c r="D27" s="25"/>
      <c r="E27" s="25" t="s">
        <v>684</v>
      </c>
      <c r="F27" s="25"/>
      <c r="G27" s="25" t="s">
        <v>664</v>
      </c>
    </row>
    <row r="28" spans="1:7" x14ac:dyDescent="0.35">
      <c r="A28" s="25"/>
      <c r="B28" s="25"/>
      <c r="C28" s="25"/>
      <c r="D28" s="25"/>
      <c r="E28" s="25" t="s">
        <v>685</v>
      </c>
      <c r="F28" s="25"/>
      <c r="G28" s="25" t="s">
        <v>664</v>
      </c>
    </row>
    <row r="29" spans="1:7" x14ac:dyDescent="0.35">
      <c r="A29" s="25"/>
      <c r="B29" s="25"/>
      <c r="C29" s="25"/>
      <c r="D29" s="25"/>
      <c r="E29" s="25" t="s">
        <v>686</v>
      </c>
      <c r="F29" s="25"/>
      <c r="G29" s="25" t="s">
        <v>664</v>
      </c>
    </row>
    <row r="30" spans="1:7" x14ac:dyDescent="0.35">
      <c r="A30" s="25"/>
      <c r="B30" s="25"/>
      <c r="C30" s="25"/>
      <c r="D30" s="25"/>
      <c r="E30" s="25" t="s">
        <v>687</v>
      </c>
      <c r="F30" s="25"/>
      <c r="G30" s="25" t="s">
        <v>664</v>
      </c>
    </row>
    <row r="31" spans="1:7" x14ac:dyDescent="0.35">
      <c r="A31" s="25"/>
      <c r="B31" s="25"/>
      <c r="C31" s="25" t="s">
        <v>688</v>
      </c>
      <c r="D31" s="25"/>
      <c r="E31" s="25"/>
      <c r="F31" s="25"/>
      <c r="G31" s="25" t="s">
        <v>664</v>
      </c>
    </row>
    <row r="32" spans="1:7" x14ac:dyDescent="0.35">
      <c r="A32" s="25"/>
      <c r="B32" s="25" t="s">
        <v>689</v>
      </c>
      <c r="C32" s="25" t="s">
        <v>690</v>
      </c>
      <c r="D32" s="25"/>
      <c r="E32" s="25" t="s">
        <v>691</v>
      </c>
      <c r="F32" s="25" t="s">
        <v>692</v>
      </c>
      <c r="G32" s="25" t="s">
        <v>658</v>
      </c>
    </row>
    <row r="33" spans="1:7" x14ac:dyDescent="0.35">
      <c r="A33" s="25"/>
      <c r="B33" s="25"/>
      <c r="C33" s="25"/>
      <c r="D33" s="25"/>
      <c r="E33" s="25" t="s">
        <v>676</v>
      </c>
      <c r="F33" s="25" t="s">
        <v>205</v>
      </c>
      <c r="G33" s="25" t="s">
        <v>664</v>
      </c>
    </row>
    <row r="34" spans="1:7" x14ac:dyDescent="0.35">
      <c r="A34" s="25"/>
      <c r="B34" s="25"/>
      <c r="C34" s="25"/>
      <c r="D34" s="25"/>
      <c r="E34" s="25" t="s">
        <v>206</v>
      </c>
      <c r="F34" s="25" t="s">
        <v>206</v>
      </c>
      <c r="G34" s="25" t="s">
        <v>658</v>
      </c>
    </row>
    <row r="35" spans="1:7" x14ac:dyDescent="0.35">
      <c r="A35" s="25"/>
      <c r="B35" s="25"/>
      <c r="C35" s="25"/>
      <c r="D35" s="25"/>
      <c r="E35" s="25" t="s">
        <v>217</v>
      </c>
      <c r="F35" s="25" t="s">
        <v>164</v>
      </c>
      <c r="G35" s="25" t="s">
        <v>664</v>
      </c>
    </row>
    <row r="36" spans="1:7" x14ac:dyDescent="0.35">
      <c r="A36" s="25"/>
      <c r="B36" s="25"/>
      <c r="C36" s="25"/>
      <c r="D36" s="25"/>
      <c r="E36" s="25" t="s">
        <v>693</v>
      </c>
      <c r="F36" s="25"/>
      <c r="G36" s="25" t="s">
        <v>664</v>
      </c>
    </row>
    <row r="37" spans="1:7" x14ac:dyDescent="0.35">
      <c r="A37" s="25"/>
      <c r="B37" s="25"/>
      <c r="C37" s="25"/>
      <c r="D37" s="25"/>
      <c r="E37" s="25" t="s">
        <v>694</v>
      </c>
      <c r="F37" s="25"/>
      <c r="G37" s="25" t="s">
        <v>664</v>
      </c>
    </row>
    <row r="38" spans="1:7" x14ac:dyDescent="0.35">
      <c r="A38" s="25"/>
      <c r="B38" s="25"/>
      <c r="C38" s="25"/>
      <c r="D38" s="25"/>
      <c r="E38" s="25" t="s">
        <v>695</v>
      </c>
      <c r="F38" s="25" t="s">
        <v>696</v>
      </c>
      <c r="G38" s="25" t="s">
        <v>658</v>
      </c>
    </row>
    <row r="39" spans="1:7" x14ac:dyDescent="0.35">
      <c r="A39" s="25"/>
      <c r="B39" s="25"/>
      <c r="C39" s="25"/>
      <c r="D39" s="25"/>
      <c r="E39" s="25" t="s">
        <v>209</v>
      </c>
      <c r="F39" s="25" t="s">
        <v>169</v>
      </c>
      <c r="G39" s="25" t="s">
        <v>664</v>
      </c>
    </row>
    <row r="40" spans="1:7" x14ac:dyDescent="0.35">
      <c r="A40" s="25"/>
      <c r="B40" s="25"/>
      <c r="C40" s="25"/>
      <c r="D40" s="25"/>
      <c r="E40" s="25" t="s">
        <v>697</v>
      </c>
      <c r="F40" s="25"/>
      <c r="G40" s="25" t="s">
        <v>664</v>
      </c>
    </row>
    <row r="41" spans="1:7" x14ac:dyDescent="0.35">
      <c r="A41" s="25"/>
      <c r="B41" s="25"/>
      <c r="C41" s="25"/>
      <c r="D41" s="25"/>
      <c r="E41" s="25" t="s">
        <v>208</v>
      </c>
      <c r="F41" s="25" t="s">
        <v>168</v>
      </c>
      <c r="G41" s="25" t="s">
        <v>664</v>
      </c>
    </row>
    <row r="42" spans="1:7" x14ac:dyDescent="0.35">
      <c r="A42" s="25"/>
      <c r="B42" s="25"/>
      <c r="C42" s="25"/>
      <c r="D42" s="25"/>
      <c r="E42" s="25" t="s">
        <v>183</v>
      </c>
      <c r="F42" s="25" t="s">
        <v>183</v>
      </c>
      <c r="G42" s="25" t="s">
        <v>664</v>
      </c>
    </row>
    <row r="43" spans="1:7" x14ac:dyDescent="0.35">
      <c r="A43" s="25"/>
      <c r="B43" s="25"/>
      <c r="C43" s="25"/>
      <c r="D43" s="25"/>
      <c r="E43" s="25" t="s">
        <v>210</v>
      </c>
      <c r="F43" s="25" t="s">
        <v>172</v>
      </c>
      <c r="G43" s="25" t="s">
        <v>664</v>
      </c>
    </row>
    <row r="44" spans="1:7" x14ac:dyDescent="0.35">
      <c r="A44" s="25"/>
      <c r="B44" s="25"/>
      <c r="C44" s="25"/>
      <c r="D44" s="25"/>
      <c r="E44" s="25" t="s">
        <v>698</v>
      </c>
      <c r="F44" s="25"/>
      <c r="G44" s="25" t="s">
        <v>664</v>
      </c>
    </row>
    <row r="45" spans="1:7" x14ac:dyDescent="0.35">
      <c r="A45" s="25"/>
      <c r="B45" s="25"/>
      <c r="C45" s="25"/>
      <c r="D45" s="25"/>
      <c r="E45" s="25" t="s">
        <v>185</v>
      </c>
      <c r="F45" s="25" t="s">
        <v>185</v>
      </c>
      <c r="G45" s="25" t="s">
        <v>658</v>
      </c>
    </row>
    <row r="46" spans="1:7" x14ac:dyDescent="0.35">
      <c r="A46" s="25"/>
      <c r="B46" s="25"/>
      <c r="C46" s="25"/>
      <c r="D46" s="25"/>
      <c r="E46" s="25" t="s">
        <v>699</v>
      </c>
      <c r="F46" s="25" t="s">
        <v>700</v>
      </c>
      <c r="G46" s="25" t="s">
        <v>664</v>
      </c>
    </row>
    <row r="47" spans="1:7" x14ac:dyDescent="0.35">
      <c r="A47" s="25"/>
      <c r="B47" s="25"/>
      <c r="C47" s="25"/>
      <c r="D47" s="25"/>
      <c r="E47" s="25" t="s">
        <v>701</v>
      </c>
      <c r="F47" s="25" t="s">
        <v>671</v>
      </c>
      <c r="G47" s="25" t="s">
        <v>664</v>
      </c>
    </row>
    <row r="48" spans="1:7" x14ac:dyDescent="0.35">
      <c r="A48" s="25"/>
      <c r="B48" s="25"/>
      <c r="C48" s="25"/>
      <c r="D48" s="25"/>
      <c r="E48" s="25" t="s">
        <v>702</v>
      </c>
      <c r="F48" s="25"/>
      <c r="G48" s="25" t="s">
        <v>664</v>
      </c>
    </row>
    <row r="49" spans="1:7" x14ac:dyDescent="0.35">
      <c r="A49" s="25"/>
      <c r="B49" s="25"/>
      <c r="C49" s="25"/>
      <c r="D49" s="25"/>
      <c r="E49" s="25" t="s">
        <v>703</v>
      </c>
      <c r="F49" s="25"/>
      <c r="G49" s="25" t="s">
        <v>664</v>
      </c>
    </row>
    <row r="50" spans="1:7" x14ac:dyDescent="0.35">
      <c r="A50" s="25"/>
      <c r="B50" s="25"/>
      <c r="C50" s="25"/>
      <c r="D50" s="25"/>
      <c r="E50" s="25" t="s">
        <v>704</v>
      </c>
      <c r="F50" s="25" t="s">
        <v>660</v>
      </c>
      <c r="G50" s="25" t="s">
        <v>664</v>
      </c>
    </row>
    <row r="51" spans="1:7" x14ac:dyDescent="0.35">
      <c r="A51" s="25"/>
      <c r="B51" s="25"/>
      <c r="C51" s="25"/>
      <c r="D51" s="25"/>
      <c r="E51" s="25" t="s">
        <v>213</v>
      </c>
      <c r="F51" s="25" t="s">
        <v>213</v>
      </c>
      <c r="G51" s="25" t="s">
        <v>664</v>
      </c>
    </row>
    <row r="52" spans="1:7" x14ac:dyDescent="0.35">
      <c r="A52" s="25"/>
      <c r="B52" s="25"/>
      <c r="C52" s="25"/>
      <c r="D52" s="25"/>
      <c r="E52" s="25" t="s">
        <v>705</v>
      </c>
      <c r="F52" s="25" t="s">
        <v>706</v>
      </c>
      <c r="G52" s="25" t="s">
        <v>664</v>
      </c>
    </row>
    <row r="53" spans="1:7" x14ac:dyDescent="0.35">
      <c r="A53" s="25"/>
      <c r="B53" s="25"/>
      <c r="C53" s="25"/>
      <c r="D53" s="25"/>
      <c r="E53" s="25" t="s">
        <v>174</v>
      </c>
      <c r="F53" s="25" t="s">
        <v>174</v>
      </c>
      <c r="G53" s="25" t="s">
        <v>664</v>
      </c>
    </row>
    <row r="54" spans="1:7" x14ac:dyDescent="0.35">
      <c r="A54" s="25"/>
      <c r="B54" s="25"/>
      <c r="C54" s="25"/>
      <c r="D54" s="25"/>
      <c r="E54" s="25" t="s">
        <v>707</v>
      </c>
      <c r="F54" s="25" t="s">
        <v>707</v>
      </c>
      <c r="G54" s="25" t="s">
        <v>658</v>
      </c>
    </row>
    <row r="55" spans="1:7" x14ac:dyDescent="0.35">
      <c r="A55" s="25"/>
      <c r="B55" s="25"/>
      <c r="C55" s="25"/>
      <c r="D55" s="25"/>
      <c r="E55" s="25" t="s">
        <v>708</v>
      </c>
      <c r="F55" s="25" t="s">
        <v>709</v>
      </c>
      <c r="G55" s="25" t="s">
        <v>664</v>
      </c>
    </row>
    <row r="56" spans="1:7" x14ac:dyDescent="0.35">
      <c r="A56" s="25"/>
      <c r="B56" s="25"/>
      <c r="C56" s="25"/>
      <c r="D56" s="25"/>
      <c r="E56" s="25" t="s">
        <v>710</v>
      </c>
      <c r="F56" s="25" t="s">
        <v>709</v>
      </c>
      <c r="G56" s="25" t="s">
        <v>664</v>
      </c>
    </row>
    <row r="57" spans="1:7" x14ac:dyDescent="0.35">
      <c r="A57" s="25"/>
      <c r="B57" s="25"/>
      <c r="C57" s="25"/>
      <c r="D57" s="25"/>
      <c r="E57" s="25" t="s">
        <v>711</v>
      </c>
      <c r="F57" s="25"/>
      <c r="G57" s="25" t="s">
        <v>664</v>
      </c>
    </row>
    <row r="58" spans="1:7" x14ac:dyDescent="0.35">
      <c r="A58" s="25"/>
      <c r="B58" s="25"/>
      <c r="C58" s="25"/>
      <c r="D58" s="25"/>
      <c r="E58" s="25" t="s">
        <v>182</v>
      </c>
      <c r="F58" s="25" t="s">
        <v>182</v>
      </c>
      <c r="G58" s="25" t="s">
        <v>664</v>
      </c>
    </row>
    <row r="59" spans="1:7" x14ac:dyDescent="0.35">
      <c r="A59" s="25"/>
      <c r="B59" s="25"/>
      <c r="C59" s="25" t="s">
        <v>712</v>
      </c>
      <c r="D59" s="25"/>
      <c r="E59" s="25" t="s">
        <v>221</v>
      </c>
      <c r="F59" s="25"/>
      <c r="G59" s="25" t="s">
        <v>664</v>
      </c>
    </row>
    <row r="60" spans="1:7" x14ac:dyDescent="0.35">
      <c r="A60" s="25"/>
      <c r="B60" s="25"/>
      <c r="C60" s="25" t="s">
        <v>261</v>
      </c>
      <c r="D60" s="25"/>
      <c r="E60" s="25"/>
      <c r="F60" s="25"/>
      <c r="G60" s="25" t="s">
        <v>664</v>
      </c>
    </row>
    <row r="61" spans="1:7" x14ac:dyDescent="0.35">
      <c r="A61" s="25"/>
      <c r="B61" s="25" t="s">
        <v>587</v>
      </c>
      <c r="C61" s="25"/>
      <c r="D61" s="25"/>
      <c r="E61" s="25" t="s">
        <v>713</v>
      </c>
      <c r="F61" s="25"/>
      <c r="G61" s="25" t="s">
        <v>664</v>
      </c>
    </row>
    <row r="62" spans="1:7" x14ac:dyDescent="0.35">
      <c r="A62" s="25"/>
      <c r="B62" s="25"/>
      <c r="C62" s="25"/>
      <c r="D62" s="25"/>
      <c r="E62" s="25" t="s">
        <v>714</v>
      </c>
      <c r="F62" s="25"/>
      <c r="G62" s="25" t="s">
        <v>664</v>
      </c>
    </row>
    <row r="63" spans="1:7" x14ac:dyDescent="0.35">
      <c r="A63" s="25"/>
      <c r="B63" s="25"/>
      <c r="C63" s="25"/>
      <c r="D63" s="25"/>
      <c r="E63" s="25" t="s">
        <v>715</v>
      </c>
      <c r="F63" s="25"/>
      <c r="G63" s="25" t="s">
        <v>664</v>
      </c>
    </row>
    <row r="64" spans="1:7" x14ac:dyDescent="0.35">
      <c r="A64" s="26" t="s">
        <v>716</v>
      </c>
      <c r="B64" s="26" t="s">
        <v>717</v>
      </c>
      <c r="C64" s="26" t="s">
        <v>218</v>
      </c>
      <c r="D64" s="26"/>
      <c r="E64" s="26"/>
      <c r="F64" s="26"/>
      <c r="G64" s="26" t="s">
        <v>664</v>
      </c>
    </row>
    <row r="65" spans="1:7" x14ac:dyDescent="0.35">
      <c r="A65" s="26"/>
      <c r="B65" s="26"/>
      <c r="C65" s="26" t="s">
        <v>718</v>
      </c>
      <c r="D65" s="26"/>
      <c r="E65" s="26"/>
      <c r="F65" s="26"/>
      <c r="G65" s="26" t="s">
        <v>664</v>
      </c>
    </row>
    <row r="66" spans="1:7" x14ac:dyDescent="0.35">
      <c r="A66" s="26"/>
      <c r="B66" s="26"/>
      <c r="C66" s="26" t="s">
        <v>219</v>
      </c>
      <c r="D66" s="26"/>
      <c r="E66" s="26"/>
      <c r="F66" s="26"/>
      <c r="G66" s="26" t="s">
        <v>664</v>
      </c>
    </row>
    <row r="67" spans="1:7" x14ac:dyDescent="0.35">
      <c r="A67" s="26"/>
      <c r="B67" s="26"/>
      <c r="C67" s="26" t="s">
        <v>220</v>
      </c>
      <c r="D67" s="26"/>
      <c r="E67" s="26"/>
      <c r="F67" s="26"/>
      <c r="G67" s="26" t="s">
        <v>664</v>
      </c>
    </row>
    <row r="68" spans="1:7" x14ac:dyDescent="0.35">
      <c r="A68" s="26"/>
      <c r="B68" s="26" t="s">
        <v>719</v>
      </c>
      <c r="C68" s="26"/>
      <c r="D68" s="26"/>
      <c r="E68" s="26" t="s">
        <v>720</v>
      </c>
      <c r="F68" s="26"/>
      <c r="G68" s="26" t="s">
        <v>664</v>
      </c>
    </row>
    <row r="69" spans="1:7" x14ac:dyDescent="0.35">
      <c r="A69" s="26"/>
      <c r="B69" s="26"/>
      <c r="C69" s="26"/>
      <c r="D69" s="26"/>
      <c r="E69" s="26" t="s">
        <v>721</v>
      </c>
      <c r="F69" s="26"/>
      <c r="G69" s="26" t="s">
        <v>664</v>
      </c>
    </row>
    <row r="70" spans="1:7" x14ac:dyDescent="0.35">
      <c r="A70" s="27" t="s">
        <v>722</v>
      </c>
      <c r="B70" s="27"/>
      <c r="C70" s="27" t="s">
        <v>723</v>
      </c>
      <c r="D70" s="27" t="s">
        <v>724</v>
      </c>
      <c r="E70" s="27" t="s">
        <v>725</v>
      </c>
      <c r="F70" s="27"/>
      <c r="G70" s="27" t="s">
        <v>664</v>
      </c>
    </row>
    <row r="71" spans="1:7" x14ac:dyDescent="0.35">
      <c r="A71" s="27"/>
      <c r="B71" s="27"/>
      <c r="C71" s="27"/>
      <c r="D71" s="27"/>
      <c r="E71" s="27" t="s">
        <v>726</v>
      </c>
      <c r="F71" s="27"/>
      <c r="G71" s="27" t="s">
        <v>664</v>
      </c>
    </row>
    <row r="72" spans="1:7" x14ac:dyDescent="0.35">
      <c r="A72" s="27"/>
      <c r="B72" s="27"/>
      <c r="C72" s="27"/>
      <c r="D72" s="27" t="s">
        <v>727</v>
      </c>
      <c r="E72" s="27" t="s">
        <v>725</v>
      </c>
      <c r="F72" s="27"/>
      <c r="G72" s="27" t="s">
        <v>664</v>
      </c>
    </row>
    <row r="73" spans="1:7" x14ac:dyDescent="0.35">
      <c r="A73" s="27"/>
      <c r="B73" s="27"/>
      <c r="C73" s="27"/>
      <c r="D73" s="27"/>
      <c r="E73" s="27" t="s">
        <v>726</v>
      </c>
      <c r="F73" s="27"/>
      <c r="G73" s="27" t="s">
        <v>664</v>
      </c>
    </row>
    <row r="74" spans="1:7" x14ac:dyDescent="0.35">
      <c r="A74" s="27"/>
      <c r="B74" s="27"/>
      <c r="C74" s="27"/>
      <c r="D74" s="27" t="s">
        <v>728</v>
      </c>
      <c r="E74" s="27" t="s">
        <v>725</v>
      </c>
      <c r="F74" s="27"/>
      <c r="G74" s="27" t="s">
        <v>664</v>
      </c>
    </row>
    <row r="75" spans="1:7" x14ac:dyDescent="0.35">
      <c r="A75" s="27"/>
      <c r="B75" s="27"/>
      <c r="C75" s="27"/>
      <c r="D75" s="27"/>
      <c r="E75" s="27" t="s">
        <v>726</v>
      </c>
      <c r="F75" s="27"/>
      <c r="G75" s="27" t="s">
        <v>664</v>
      </c>
    </row>
    <row r="76" spans="1:7" x14ac:dyDescent="0.35">
      <c r="A76" s="27"/>
      <c r="B76" s="27"/>
      <c r="C76" s="27"/>
      <c r="D76" s="27" t="s">
        <v>729</v>
      </c>
      <c r="E76" s="27" t="s">
        <v>725</v>
      </c>
      <c r="F76" s="27"/>
      <c r="G76" s="27" t="s">
        <v>664</v>
      </c>
    </row>
    <row r="77" spans="1:7" x14ac:dyDescent="0.35">
      <c r="A77" s="27"/>
      <c r="B77" s="27"/>
      <c r="C77" s="27"/>
      <c r="D77" s="27"/>
      <c r="E77" s="27" t="s">
        <v>726</v>
      </c>
      <c r="F77" s="27"/>
      <c r="G77" s="27" t="s">
        <v>664</v>
      </c>
    </row>
    <row r="78" spans="1:7" x14ac:dyDescent="0.35">
      <c r="A78" s="28" t="s">
        <v>730</v>
      </c>
      <c r="B78" s="28"/>
      <c r="C78" s="28" t="s">
        <v>730</v>
      </c>
      <c r="D78" s="28" t="s">
        <v>731</v>
      </c>
      <c r="E78" s="28" t="s">
        <v>732</v>
      </c>
      <c r="F78" s="28"/>
      <c r="G78" s="28" t="s">
        <v>664</v>
      </c>
    </row>
    <row r="79" spans="1:7" x14ac:dyDescent="0.35">
      <c r="A79" s="29" t="s">
        <v>733</v>
      </c>
      <c r="B79" s="29"/>
      <c r="C79" s="29" t="s">
        <v>734</v>
      </c>
      <c r="D79" s="29" t="s">
        <v>735</v>
      </c>
      <c r="E79" s="29" t="s">
        <v>736</v>
      </c>
      <c r="F79" s="29"/>
      <c r="G79" s="29" t="s">
        <v>664</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C0E5-7E63-4220-BF63-4C73ADEED843}">
  <dimension ref="A1:D92"/>
  <sheetViews>
    <sheetView workbookViewId="0">
      <selection activeCell="C13" sqref="C13"/>
    </sheetView>
  </sheetViews>
  <sheetFormatPr defaultRowHeight="14.5" x14ac:dyDescent="0.35"/>
  <cols>
    <col min="1" max="1" width="72.81640625" customWidth="1"/>
    <col min="2" max="2" width="31.1796875" customWidth="1"/>
    <col min="3" max="3" width="24.453125" customWidth="1"/>
    <col min="4" max="4" width="34.54296875" bestFit="1" customWidth="1"/>
  </cols>
  <sheetData>
    <row r="1" spans="1:4" x14ac:dyDescent="0.35">
      <c r="A1" s="32" t="s">
        <v>0</v>
      </c>
      <c r="B1" s="32" t="s">
        <v>737</v>
      </c>
      <c r="C1" s="32" t="s">
        <v>738</v>
      </c>
      <c r="D1" s="32" t="s">
        <v>7</v>
      </c>
    </row>
    <row r="2" spans="1:4" x14ac:dyDescent="0.35">
      <c r="A2" s="56" t="s">
        <v>739</v>
      </c>
      <c r="B2" s="57" t="s">
        <v>740</v>
      </c>
      <c r="C2" s="1"/>
      <c r="D2" s="1"/>
    </row>
    <row r="3" spans="1:4" x14ac:dyDescent="0.35">
      <c r="A3" s="56" t="s">
        <v>741</v>
      </c>
      <c r="B3" s="57" t="s">
        <v>740</v>
      </c>
      <c r="C3" s="1" t="s">
        <v>742</v>
      </c>
      <c r="D3" s="1"/>
    </row>
    <row r="4" spans="1:4" x14ac:dyDescent="0.35">
      <c r="A4" s="56" t="s">
        <v>743</v>
      </c>
      <c r="B4" s="57" t="s">
        <v>740</v>
      </c>
      <c r="C4" s="1"/>
      <c r="D4" s="1"/>
    </row>
    <row r="5" spans="1:4" x14ac:dyDescent="0.35">
      <c r="A5" s="56" t="s">
        <v>744</v>
      </c>
      <c r="B5" s="57" t="s">
        <v>740</v>
      </c>
      <c r="C5" s="1"/>
      <c r="D5" s="1"/>
    </row>
    <row r="6" spans="1:4" x14ac:dyDescent="0.35">
      <c r="A6" s="56" t="s">
        <v>745</v>
      </c>
      <c r="B6" s="57" t="s">
        <v>740</v>
      </c>
      <c r="C6" s="1"/>
      <c r="D6" s="1"/>
    </row>
    <row r="7" spans="1:4" x14ac:dyDescent="0.35">
      <c r="A7" s="56" t="s">
        <v>746</v>
      </c>
      <c r="B7" s="57" t="s">
        <v>740</v>
      </c>
      <c r="C7" s="1"/>
      <c r="D7" s="1"/>
    </row>
    <row r="8" spans="1:4" x14ac:dyDescent="0.35">
      <c r="A8" s="56" t="s">
        <v>747</v>
      </c>
      <c r="B8" s="57" t="s">
        <v>740</v>
      </c>
      <c r="C8" s="1"/>
      <c r="D8" s="1"/>
    </row>
    <row r="9" spans="1:4" ht="26.5" x14ac:dyDescent="0.35">
      <c r="A9" s="56" t="s">
        <v>748</v>
      </c>
      <c r="B9" s="57" t="s">
        <v>740</v>
      </c>
      <c r="C9" s="1"/>
      <c r="D9" s="1"/>
    </row>
    <row r="10" spans="1:4" ht="26.5" x14ac:dyDescent="0.35">
      <c r="A10" s="56" t="s">
        <v>749</v>
      </c>
      <c r="B10" s="57" t="s">
        <v>740</v>
      </c>
      <c r="C10" s="1"/>
      <c r="D10" s="1"/>
    </row>
    <row r="11" spans="1:4" ht="26.5" x14ac:dyDescent="0.35">
      <c r="A11" s="56" t="s">
        <v>750</v>
      </c>
      <c r="B11" s="57" t="s">
        <v>740</v>
      </c>
      <c r="C11" s="1"/>
      <c r="D11" s="1"/>
    </row>
    <row r="12" spans="1:4" ht="26.5" x14ac:dyDescent="0.35">
      <c r="A12" s="56" t="s">
        <v>751</v>
      </c>
      <c r="B12" s="57" t="s">
        <v>740</v>
      </c>
      <c r="C12" s="1"/>
      <c r="D12" s="1"/>
    </row>
    <row r="13" spans="1:4" ht="26.5" x14ac:dyDescent="0.35">
      <c r="A13" s="56" t="s">
        <v>752</v>
      </c>
      <c r="B13" s="57" t="s">
        <v>740</v>
      </c>
      <c r="C13" s="1"/>
      <c r="D13" s="1"/>
    </row>
    <row r="14" spans="1:4" ht="26.5" x14ac:dyDescent="0.35">
      <c r="A14" s="56" t="s">
        <v>753</v>
      </c>
      <c r="B14" s="57" t="s">
        <v>740</v>
      </c>
      <c r="C14" s="1"/>
      <c r="D14" s="1"/>
    </row>
    <row r="15" spans="1:4" x14ac:dyDescent="0.35">
      <c r="A15" s="56" t="s">
        <v>754</v>
      </c>
      <c r="B15" s="57" t="s">
        <v>740</v>
      </c>
      <c r="C15" s="1"/>
      <c r="D15" s="1"/>
    </row>
    <row r="16" spans="1:4" ht="26.5" x14ac:dyDescent="0.35">
      <c r="A16" s="56" t="s">
        <v>755</v>
      </c>
      <c r="B16" s="57" t="s">
        <v>740</v>
      </c>
      <c r="C16" s="1"/>
      <c r="D16" s="1"/>
    </row>
    <row r="17" spans="1:4" x14ac:dyDescent="0.35">
      <c r="A17" s="56" t="s">
        <v>756</v>
      </c>
      <c r="B17" s="57" t="s">
        <v>740</v>
      </c>
      <c r="C17" s="1"/>
      <c r="D17" s="1"/>
    </row>
    <row r="18" spans="1:4" x14ac:dyDescent="0.35">
      <c r="A18" s="56" t="s">
        <v>757</v>
      </c>
      <c r="B18" s="57" t="s">
        <v>740</v>
      </c>
      <c r="C18" s="1"/>
      <c r="D18" s="1"/>
    </row>
    <row r="19" spans="1:4" x14ac:dyDescent="0.35">
      <c r="A19" s="56" t="s">
        <v>758</v>
      </c>
      <c r="B19" s="57" t="s">
        <v>759</v>
      </c>
      <c r="C19" s="1" t="s">
        <v>253</v>
      </c>
      <c r="D19" s="1"/>
    </row>
    <row r="20" spans="1:4" x14ac:dyDescent="0.35">
      <c r="A20" s="56" t="s">
        <v>760</v>
      </c>
      <c r="B20" s="57" t="s">
        <v>759</v>
      </c>
      <c r="C20" s="1" t="s">
        <v>253</v>
      </c>
      <c r="D20" s="1"/>
    </row>
    <row r="21" spans="1:4" x14ac:dyDescent="0.35">
      <c r="A21" s="56" t="s">
        <v>761</v>
      </c>
      <c r="B21" s="57" t="s">
        <v>759</v>
      </c>
      <c r="C21" s="1" t="s">
        <v>253</v>
      </c>
      <c r="D21" s="1"/>
    </row>
    <row r="22" spans="1:4" x14ac:dyDescent="0.35">
      <c r="A22" s="56" t="s">
        <v>762</v>
      </c>
      <c r="B22" s="57" t="s">
        <v>759</v>
      </c>
      <c r="C22" s="1" t="s">
        <v>253</v>
      </c>
      <c r="D22" s="1"/>
    </row>
    <row r="23" spans="1:4" x14ac:dyDescent="0.35">
      <c r="A23" s="56" t="s">
        <v>763</v>
      </c>
      <c r="B23" s="57" t="s">
        <v>759</v>
      </c>
      <c r="C23" s="1" t="s">
        <v>253</v>
      </c>
      <c r="D23" s="1"/>
    </row>
    <row r="24" spans="1:4" x14ac:dyDescent="0.35">
      <c r="A24" s="56" t="s">
        <v>764</v>
      </c>
      <c r="B24" s="57" t="s">
        <v>759</v>
      </c>
      <c r="C24" s="1" t="s">
        <v>253</v>
      </c>
      <c r="D24" s="1"/>
    </row>
    <row r="25" spans="1:4" x14ac:dyDescent="0.35">
      <c r="A25" s="56" t="s">
        <v>765</v>
      </c>
      <c r="B25" s="57" t="s">
        <v>759</v>
      </c>
      <c r="C25" s="1" t="s">
        <v>253</v>
      </c>
      <c r="D25" s="1"/>
    </row>
    <row r="26" spans="1:4" x14ac:dyDescent="0.35">
      <c r="A26" s="56" t="s">
        <v>766</v>
      </c>
      <c r="B26" s="57" t="s">
        <v>759</v>
      </c>
      <c r="C26" s="1" t="s">
        <v>253</v>
      </c>
      <c r="D26" s="1" t="s">
        <v>767</v>
      </c>
    </row>
    <row r="27" spans="1:4" x14ac:dyDescent="0.35">
      <c r="A27" s="56" t="s">
        <v>768</v>
      </c>
      <c r="B27" s="57" t="s">
        <v>759</v>
      </c>
      <c r="C27" s="1" t="s">
        <v>253</v>
      </c>
      <c r="D27" s="1"/>
    </row>
    <row r="28" spans="1:4" x14ac:dyDescent="0.35">
      <c r="A28" s="56" t="s">
        <v>769</v>
      </c>
      <c r="B28" s="57" t="s">
        <v>759</v>
      </c>
      <c r="C28" s="1" t="s">
        <v>287</v>
      </c>
      <c r="D28" s="1"/>
    </row>
    <row r="29" spans="1:4" x14ac:dyDescent="0.35">
      <c r="A29" s="56" t="s">
        <v>770</v>
      </c>
      <c r="B29" s="57" t="s">
        <v>759</v>
      </c>
      <c r="C29" s="1" t="s">
        <v>287</v>
      </c>
      <c r="D29" s="1" t="s">
        <v>771</v>
      </c>
    </row>
    <row r="30" spans="1:4" x14ac:dyDescent="0.35">
      <c r="A30" s="56" t="s">
        <v>772</v>
      </c>
      <c r="B30" s="57" t="s">
        <v>759</v>
      </c>
      <c r="C30" s="1" t="s">
        <v>253</v>
      </c>
      <c r="D30" s="1" t="s">
        <v>773</v>
      </c>
    </row>
    <row r="31" spans="1:4" x14ac:dyDescent="0.35">
      <c r="A31" s="56" t="s">
        <v>774</v>
      </c>
      <c r="B31" s="57" t="s">
        <v>759</v>
      </c>
      <c r="C31" s="1" t="s">
        <v>253</v>
      </c>
      <c r="D31" s="1"/>
    </row>
    <row r="32" spans="1:4" x14ac:dyDescent="0.35">
      <c r="A32" s="56" t="s">
        <v>775</v>
      </c>
      <c r="B32" s="57" t="s">
        <v>759</v>
      </c>
      <c r="C32" s="1" t="s">
        <v>287</v>
      </c>
      <c r="D32" s="1" t="s">
        <v>776</v>
      </c>
    </row>
    <row r="33" spans="1:4" ht="26.5" x14ac:dyDescent="0.35">
      <c r="A33" s="56" t="s">
        <v>777</v>
      </c>
      <c r="B33" s="57" t="s">
        <v>759</v>
      </c>
      <c r="C33" s="1" t="s">
        <v>287</v>
      </c>
      <c r="D33" s="1" t="s">
        <v>776</v>
      </c>
    </row>
    <row r="34" spans="1:4" x14ac:dyDescent="0.35">
      <c r="A34" s="56" t="s">
        <v>778</v>
      </c>
      <c r="B34" s="57" t="s">
        <v>759</v>
      </c>
      <c r="C34" s="1"/>
      <c r="D34" s="1"/>
    </row>
    <row r="35" spans="1:4" x14ac:dyDescent="0.35">
      <c r="A35" s="56" t="s">
        <v>779</v>
      </c>
      <c r="B35" s="57" t="s">
        <v>759</v>
      </c>
      <c r="C35" s="1"/>
      <c r="D35" s="1"/>
    </row>
    <row r="36" spans="1:4" x14ac:dyDescent="0.35">
      <c r="A36" s="56" t="s">
        <v>780</v>
      </c>
      <c r="B36" s="57" t="s">
        <v>759</v>
      </c>
      <c r="C36" s="1"/>
      <c r="D36" s="1"/>
    </row>
    <row r="37" spans="1:4" x14ac:dyDescent="0.35">
      <c r="A37" s="56" t="s">
        <v>781</v>
      </c>
      <c r="B37" s="57" t="s">
        <v>759</v>
      </c>
      <c r="C37" s="1" t="s">
        <v>253</v>
      </c>
      <c r="D37" s="1"/>
    </row>
    <row r="38" spans="1:4" x14ac:dyDescent="0.35">
      <c r="A38" s="56" t="s">
        <v>782</v>
      </c>
      <c r="B38" s="57" t="s">
        <v>759</v>
      </c>
      <c r="C38" s="1" t="s">
        <v>253</v>
      </c>
      <c r="D38" s="1"/>
    </row>
    <row r="39" spans="1:4" x14ac:dyDescent="0.35">
      <c r="A39" s="56" t="s">
        <v>783</v>
      </c>
      <c r="B39" s="57" t="s">
        <v>759</v>
      </c>
      <c r="C39" s="1" t="s">
        <v>287</v>
      </c>
      <c r="D39" s="1" t="s">
        <v>784</v>
      </c>
    </row>
    <row r="40" spans="1:4" x14ac:dyDescent="0.35">
      <c r="A40" s="56" t="s">
        <v>785</v>
      </c>
      <c r="B40" s="57" t="s">
        <v>759</v>
      </c>
      <c r="C40" s="1"/>
      <c r="D40" s="1"/>
    </row>
    <row r="41" spans="1:4" x14ac:dyDescent="0.35">
      <c r="A41" s="56" t="s">
        <v>786</v>
      </c>
      <c r="B41" s="57" t="s">
        <v>759</v>
      </c>
      <c r="C41" s="1"/>
      <c r="D41" s="1"/>
    </row>
    <row r="42" spans="1:4" x14ac:dyDescent="0.35">
      <c r="A42" s="56" t="s">
        <v>787</v>
      </c>
      <c r="B42" s="57" t="s">
        <v>788</v>
      </c>
      <c r="C42" s="1"/>
      <c r="D42" s="1"/>
    </row>
    <row r="43" spans="1:4" x14ac:dyDescent="0.35">
      <c r="A43" s="56" t="s">
        <v>789</v>
      </c>
      <c r="B43" s="57" t="s">
        <v>788</v>
      </c>
      <c r="C43" s="1"/>
      <c r="D43" s="1"/>
    </row>
    <row r="44" spans="1:4" x14ac:dyDescent="0.35">
      <c r="A44" s="56" t="s">
        <v>790</v>
      </c>
      <c r="B44" s="57" t="s">
        <v>788</v>
      </c>
      <c r="C44" s="1"/>
      <c r="D44" s="1"/>
    </row>
    <row r="45" spans="1:4" x14ac:dyDescent="0.35">
      <c r="A45" s="56" t="s">
        <v>791</v>
      </c>
      <c r="B45" s="57" t="s">
        <v>788</v>
      </c>
      <c r="C45" s="1"/>
      <c r="D45" s="1"/>
    </row>
    <row r="46" spans="1:4" x14ac:dyDescent="0.35">
      <c r="A46" s="56" t="s">
        <v>792</v>
      </c>
      <c r="B46" s="57" t="s">
        <v>788</v>
      </c>
      <c r="C46" s="1"/>
      <c r="D46" s="1"/>
    </row>
    <row r="47" spans="1:4" x14ac:dyDescent="0.35">
      <c r="A47" s="56" t="s">
        <v>793</v>
      </c>
      <c r="B47" s="57" t="s">
        <v>788</v>
      </c>
      <c r="C47" s="1"/>
      <c r="D47" s="1"/>
    </row>
    <row r="48" spans="1:4" x14ac:dyDescent="0.35">
      <c r="A48" s="56" t="s">
        <v>794</v>
      </c>
      <c r="B48" s="57" t="s">
        <v>788</v>
      </c>
      <c r="C48" s="1"/>
      <c r="D48" s="1"/>
    </row>
    <row r="49" spans="1:4" x14ac:dyDescent="0.35">
      <c r="A49" s="56" t="s">
        <v>795</v>
      </c>
      <c r="B49" s="57" t="s">
        <v>788</v>
      </c>
      <c r="C49" s="1"/>
      <c r="D49" s="1"/>
    </row>
    <row r="50" spans="1:4" x14ac:dyDescent="0.35">
      <c r="A50" s="56" t="s">
        <v>796</v>
      </c>
      <c r="B50" s="57" t="s">
        <v>788</v>
      </c>
      <c r="C50" s="1"/>
      <c r="D50" s="1"/>
    </row>
    <row r="51" spans="1:4" x14ac:dyDescent="0.35">
      <c r="A51" s="56" t="s">
        <v>797</v>
      </c>
      <c r="B51" s="57" t="s">
        <v>788</v>
      </c>
      <c r="C51" s="1"/>
      <c r="D51" s="1"/>
    </row>
    <row r="52" spans="1:4" x14ac:dyDescent="0.35">
      <c r="A52" s="56" t="s">
        <v>798</v>
      </c>
      <c r="B52" s="57" t="s">
        <v>788</v>
      </c>
      <c r="C52" s="1"/>
      <c r="D52" s="1"/>
    </row>
    <row r="53" spans="1:4" x14ac:dyDescent="0.35">
      <c r="A53" s="56" t="s">
        <v>799</v>
      </c>
      <c r="B53" s="57" t="s">
        <v>788</v>
      </c>
      <c r="C53" s="1"/>
      <c r="D53" s="1"/>
    </row>
    <row r="54" spans="1:4" x14ac:dyDescent="0.35">
      <c r="A54" s="56" t="s">
        <v>800</v>
      </c>
      <c r="B54" s="57" t="s">
        <v>788</v>
      </c>
      <c r="C54" s="1"/>
      <c r="D54" s="1"/>
    </row>
    <row r="55" spans="1:4" x14ac:dyDescent="0.35">
      <c r="A55" s="56" t="s">
        <v>801</v>
      </c>
      <c r="B55" s="57" t="s">
        <v>788</v>
      </c>
      <c r="C55" s="1" t="s">
        <v>253</v>
      </c>
      <c r="D55" s="1"/>
    </row>
    <row r="56" spans="1:4" x14ac:dyDescent="0.35">
      <c r="A56" s="56" t="s">
        <v>802</v>
      </c>
      <c r="B56" s="57" t="s">
        <v>788</v>
      </c>
      <c r="C56" s="1"/>
      <c r="D56" s="1"/>
    </row>
    <row r="57" spans="1:4" x14ac:dyDescent="0.35">
      <c r="A57" s="56" t="s">
        <v>803</v>
      </c>
      <c r="B57" s="57" t="s">
        <v>788</v>
      </c>
      <c r="C57" s="1"/>
      <c r="D57" s="1"/>
    </row>
    <row r="58" spans="1:4" x14ac:dyDescent="0.35">
      <c r="A58" s="56" t="s">
        <v>804</v>
      </c>
      <c r="B58" s="57" t="s">
        <v>805</v>
      </c>
      <c r="C58" s="1"/>
      <c r="D58" s="1"/>
    </row>
    <row r="59" spans="1:4" ht="26.5" x14ac:dyDescent="0.35">
      <c r="A59" s="56" t="s">
        <v>806</v>
      </c>
      <c r="B59" s="57" t="s">
        <v>805</v>
      </c>
      <c r="C59" s="1"/>
      <c r="D59" s="1"/>
    </row>
    <row r="60" spans="1:4" x14ac:dyDescent="0.35">
      <c r="A60" s="56" t="s">
        <v>807</v>
      </c>
      <c r="B60" s="57" t="s">
        <v>805</v>
      </c>
      <c r="C60" s="1"/>
      <c r="D60" s="1"/>
    </row>
    <row r="61" spans="1:4" x14ac:dyDescent="0.35">
      <c r="A61" s="56" t="s">
        <v>808</v>
      </c>
      <c r="B61" s="57" t="s">
        <v>805</v>
      </c>
      <c r="C61" s="1"/>
      <c r="D61" s="1"/>
    </row>
    <row r="62" spans="1:4" x14ac:dyDescent="0.35">
      <c r="A62" s="56" t="s">
        <v>809</v>
      </c>
      <c r="B62" s="57" t="s">
        <v>805</v>
      </c>
      <c r="C62" s="1"/>
      <c r="D62" s="1"/>
    </row>
    <row r="63" spans="1:4" x14ac:dyDescent="0.35">
      <c r="A63" s="56" t="s">
        <v>810</v>
      </c>
      <c r="B63" s="57" t="s">
        <v>805</v>
      </c>
      <c r="C63" s="1"/>
      <c r="D63" s="1"/>
    </row>
    <row r="64" spans="1:4" ht="26.5" x14ac:dyDescent="0.35">
      <c r="A64" s="56" t="s">
        <v>811</v>
      </c>
      <c r="B64" s="57" t="s">
        <v>805</v>
      </c>
      <c r="C64" s="1"/>
      <c r="D64" s="1"/>
    </row>
    <row r="65" spans="1:4" ht="26.5" x14ac:dyDescent="0.35">
      <c r="A65" s="56" t="s">
        <v>812</v>
      </c>
      <c r="B65" s="57" t="s">
        <v>805</v>
      </c>
      <c r="C65" s="1"/>
      <c r="D65" s="1"/>
    </row>
    <row r="66" spans="1:4" ht="26.5" x14ac:dyDescent="0.35">
      <c r="A66" s="56" t="s">
        <v>813</v>
      </c>
      <c r="B66" s="57" t="s">
        <v>805</v>
      </c>
      <c r="C66" s="1"/>
      <c r="D66" s="1"/>
    </row>
    <row r="67" spans="1:4" x14ac:dyDescent="0.35">
      <c r="A67" s="56" t="s">
        <v>814</v>
      </c>
      <c r="B67" s="57" t="s">
        <v>805</v>
      </c>
      <c r="C67" s="1"/>
      <c r="D67" s="1"/>
    </row>
    <row r="68" spans="1:4" x14ac:dyDescent="0.35">
      <c r="A68" s="56" t="s">
        <v>815</v>
      </c>
      <c r="B68" s="57" t="s">
        <v>805</v>
      </c>
      <c r="C68" s="1"/>
      <c r="D68" s="1"/>
    </row>
    <row r="69" spans="1:4" x14ac:dyDescent="0.35">
      <c r="A69" s="56" t="s">
        <v>816</v>
      </c>
      <c r="B69" s="57" t="s">
        <v>805</v>
      </c>
      <c r="C69" s="1"/>
      <c r="D69" s="1"/>
    </row>
    <row r="70" spans="1:4" x14ac:dyDescent="0.35">
      <c r="A70" s="56" t="s">
        <v>817</v>
      </c>
      <c r="B70" s="57" t="s">
        <v>805</v>
      </c>
      <c r="C70" s="1"/>
      <c r="D70" s="1"/>
    </row>
    <row r="71" spans="1:4" x14ac:dyDescent="0.35">
      <c r="A71" s="56" t="s">
        <v>818</v>
      </c>
      <c r="B71" s="57" t="s">
        <v>805</v>
      </c>
      <c r="C71" s="1"/>
      <c r="D71" s="1"/>
    </row>
    <row r="72" spans="1:4" x14ac:dyDescent="0.35">
      <c r="A72" s="56" t="s">
        <v>819</v>
      </c>
      <c r="B72" s="57" t="s">
        <v>805</v>
      </c>
      <c r="C72" s="1"/>
      <c r="D72" s="1"/>
    </row>
    <row r="73" spans="1:4" x14ac:dyDescent="0.35">
      <c r="A73" s="56" t="s">
        <v>820</v>
      </c>
      <c r="B73" s="57" t="s">
        <v>805</v>
      </c>
      <c r="C73" s="1"/>
      <c r="D73" s="1"/>
    </row>
    <row r="74" spans="1:4" x14ac:dyDescent="0.35">
      <c r="A74" s="56" t="s">
        <v>821</v>
      </c>
      <c r="B74" s="57" t="s">
        <v>805</v>
      </c>
      <c r="C74" s="1"/>
      <c r="D74" s="1"/>
    </row>
    <row r="75" spans="1:4" x14ac:dyDescent="0.35">
      <c r="A75" s="56" t="s">
        <v>822</v>
      </c>
      <c r="B75" s="57" t="s">
        <v>805</v>
      </c>
      <c r="C75" s="1"/>
      <c r="D75" s="1"/>
    </row>
    <row r="76" spans="1:4" x14ac:dyDescent="0.35">
      <c r="A76" s="56" t="s">
        <v>823</v>
      </c>
      <c r="B76" s="57" t="s">
        <v>805</v>
      </c>
      <c r="C76" s="1"/>
      <c r="D76" s="1"/>
    </row>
    <row r="77" spans="1:4" x14ac:dyDescent="0.35">
      <c r="A77" s="56" t="s">
        <v>824</v>
      </c>
      <c r="B77" s="57" t="s">
        <v>805</v>
      </c>
      <c r="C77" s="1"/>
      <c r="D77" s="1"/>
    </row>
    <row r="78" spans="1:4" x14ac:dyDescent="0.35">
      <c r="A78" s="56" t="s">
        <v>825</v>
      </c>
      <c r="B78" s="57" t="s">
        <v>805</v>
      </c>
      <c r="C78" s="1"/>
      <c r="D78" s="1"/>
    </row>
    <row r="79" spans="1:4" x14ac:dyDescent="0.35">
      <c r="A79" s="56" t="s">
        <v>826</v>
      </c>
      <c r="B79" s="57" t="s">
        <v>805</v>
      </c>
      <c r="C79" s="1"/>
      <c r="D79" s="1"/>
    </row>
    <row r="80" spans="1:4" x14ac:dyDescent="0.35">
      <c r="A80" s="56" t="s">
        <v>827</v>
      </c>
      <c r="B80" s="57" t="s">
        <v>828</v>
      </c>
      <c r="C80" s="1"/>
      <c r="D80" s="1"/>
    </row>
    <row r="81" spans="1:4" x14ac:dyDescent="0.35">
      <c r="A81" s="56" t="s">
        <v>829</v>
      </c>
      <c r="B81" s="57" t="s">
        <v>828</v>
      </c>
      <c r="C81" s="1"/>
      <c r="D81" s="1"/>
    </row>
    <row r="82" spans="1:4" x14ac:dyDescent="0.35">
      <c r="A82" s="56" t="s">
        <v>830</v>
      </c>
      <c r="B82" s="57" t="s">
        <v>828</v>
      </c>
      <c r="C82" s="1"/>
      <c r="D82" s="1"/>
    </row>
    <row r="83" spans="1:4" x14ac:dyDescent="0.35">
      <c r="A83" s="56" t="s">
        <v>831</v>
      </c>
      <c r="B83" s="57" t="s">
        <v>828</v>
      </c>
      <c r="C83" s="1"/>
      <c r="D83" s="1"/>
    </row>
    <row r="84" spans="1:4" x14ac:dyDescent="0.35">
      <c r="A84" s="56" t="s">
        <v>832</v>
      </c>
      <c r="B84" s="57" t="s">
        <v>828</v>
      </c>
      <c r="C84" s="1"/>
      <c r="D84" s="1"/>
    </row>
    <row r="85" spans="1:4" x14ac:dyDescent="0.35">
      <c r="A85" s="56" t="s">
        <v>833</v>
      </c>
      <c r="B85" s="57" t="s">
        <v>828</v>
      </c>
      <c r="C85" s="1"/>
      <c r="D85" s="1"/>
    </row>
    <row r="86" spans="1:4" x14ac:dyDescent="0.35">
      <c r="A86" s="56" t="s">
        <v>834</v>
      </c>
      <c r="B86" s="57" t="s">
        <v>828</v>
      </c>
      <c r="C86" s="1"/>
      <c r="D86" s="1"/>
    </row>
    <row r="87" spans="1:4" x14ac:dyDescent="0.35">
      <c r="A87" s="56" t="s">
        <v>835</v>
      </c>
      <c r="B87" s="57" t="s">
        <v>828</v>
      </c>
      <c r="C87" s="1"/>
      <c r="D87" s="1"/>
    </row>
    <row r="88" spans="1:4" x14ac:dyDescent="0.35">
      <c r="A88" s="56" t="s">
        <v>836</v>
      </c>
      <c r="B88" s="57" t="s">
        <v>828</v>
      </c>
      <c r="C88" s="1"/>
      <c r="D88" s="1"/>
    </row>
    <row r="89" spans="1:4" x14ac:dyDescent="0.35">
      <c r="A89" s="56" t="s">
        <v>837</v>
      </c>
      <c r="B89" s="57" t="s">
        <v>828</v>
      </c>
      <c r="C89" s="1"/>
      <c r="D89" s="1"/>
    </row>
    <row r="90" spans="1:4" x14ac:dyDescent="0.35">
      <c r="A90" s="56" t="s">
        <v>838</v>
      </c>
      <c r="B90" s="57" t="s">
        <v>828</v>
      </c>
      <c r="C90" s="1" t="s">
        <v>253</v>
      </c>
      <c r="D90" s="1"/>
    </row>
    <row r="91" spans="1:4" x14ac:dyDescent="0.35">
      <c r="A91" s="56" t="s">
        <v>839</v>
      </c>
      <c r="B91" s="57" t="s">
        <v>840</v>
      </c>
      <c r="C91" s="1" t="s">
        <v>253</v>
      </c>
      <c r="D91" s="1"/>
    </row>
    <row r="92" spans="1:4" x14ac:dyDescent="0.35">
      <c r="A92" s="56" t="s">
        <v>841</v>
      </c>
      <c r="B92" s="57" t="s">
        <v>840</v>
      </c>
      <c r="C92" s="1" t="s">
        <v>253</v>
      </c>
      <c r="D92" s="1"/>
    </row>
  </sheetData>
  <autoFilter ref="A1:C1" xr:uid="{C316C0E5-7E63-4220-BF63-4C73ADEED843}"/>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16AE7-8408-4147-90C7-4C9ACE6D4A51}">
  <dimension ref="A1:E58"/>
  <sheetViews>
    <sheetView workbookViewId="0"/>
  </sheetViews>
  <sheetFormatPr defaultRowHeight="14.5" x14ac:dyDescent="0.35"/>
  <cols>
    <col min="2" max="2" width="49.81640625" customWidth="1"/>
    <col min="3" max="3" width="31.26953125" customWidth="1"/>
    <col min="4" max="4" width="54.1796875" customWidth="1"/>
    <col min="5" max="5" width="39.26953125" customWidth="1"/>
  </cols>
  <sheetData>
    <row r="1" spans="1:5" x14ac:dyDescent="0.35">
      <c r="A1" s="111" t="s">
        <v>842</v>
      </c>
      <c r="B1" s="111" t="s">
        <v>843</v>
      </c>
      <c r="C1" s="111" t="s">
        <v>399</v>
      </c>
      <c r="D1" s="111" t="s">
        <v>844</v>
      </c>
      <c r="E1" s="111" t="s">
        <v>845</v>
      </c>
    </row>
    <row r="2" spans="1:5" x14ac:dyDescent="0.35">
      <c r="A2" s="63">
        <v>1</v>
      </c>
      <c r="B2" s="63" t="s">
        <v>846</v>
      </c>
      <c r="C2" s="63" t="s">
        <v>222</v>
      </c>
      <c r="D2" s="63" t="s">
        <v>847</v>
      </c>
      <c r="E2" s="63"/>
    </row>
    <row r="3" spans="1:5" x14ac:dyDescent="0.35">
      <c r="A3" s="63">
        <v>2</v>
      </c>
      <c r="B3" s="63" t="s">
        <v>848</v>
      </c>
      <c r="C3" s="63" t="s">
        <v>219</v>
      </c>
      <c r="D3" s="63" t="s">
        <v>849</v>
      </c>
      <c r="E3" s="63"/>
    </row>
    <row r="4" spans="1:5" x14ac:dyDescent="0.35">
      <c r="A4" s="63">
        <v>3</v>
      </c>
      <c r="B4" s="63" t="s">
        <v>850</v>
      </c>
      <c r="C4" s="63" t="s">
        <v>663</v>
      </c>
      <c r="D4" s="63" t="s">
        <v>851</v>
      </c>
      <c r="E4" s="63"/>
    </row>
    <row r="5" spans="1:5" x14ac:dyDescent="0.35">
      <c r="A5" s="63">
        <v>4</v>
      </c>
      <c r="B5" s="63" t="s">
        <v>852</v>
      </c>
      <c r="C5" s="63" t="s">
        <v>663</v>
      </c>
      <c r="D5" s="63" t="s">
        <v>853</v>
      </c>
      <c r="E5" s="63"/>
    </row>
    <row r="6" spans="1:5" x14ac:dyDescent="0.35">
      <c r="A6" s="63">
        <v>5</v>
      </c>
      <c r="B6" s="63" t="s">
        <v>854</v>
      </c>
      <c r="C6" s="63" t="s">
        <v>408</v>
      </c>
      <c r="D6" s="63" t="s">
        <v>855</v>
      </c>
      <c r="E6" s="63"/>
    </row>
    <row r="7" spans="1:5" x14ac:dyDescent="0.35">
      <c r="A7" s="63">
        <v>6</v>
      </c>
      <c r="B7" s="63" t="s">
        <v>856</v>
      </c>
      <c r="C7" s="63" t="s">
        <v>616</v>
      </c>
      <c r="D7" s="63" t="s">
        <v>857</v>
      </c>
      <c r="E7" s="63"/>
    </row>
    <row r="8" spans="1:5" x14ac:dyDescent="0.35">
      <c r="A8" s="63">
        <v>7</v>
      </c>
      <c r="B8" s="63" t="s">
        <v>858</v>
      </c>
      <c r="C8" s="63" t="s">
        <v>663</v>
      </c>
      <c r="D8" s="63" t="s">
        <v>851</v>
      </c>
      <c r="E8" s="63" t="s">
        <v>859</v>
      </c>
    </row>
    <row r="9" spans="1:5" x14ac:dyDescent="0.35">
      <c r="A9" s="63">
        <v>8</v>
      </c>
      <c r="B9" s="63" t="s">
        <v>860</v>
      </c>
      <c r="C9" s="63" t="s">
        <v>861</v>
      </c>
      <c r="D9" s="63" t="s">
        <v>862</v>
      </c>
      <c r="E9" s="63"/>
    </row>
    <row r="10" spans="1:5" x14ac:dyDescent="0.35">
      <c r="A10" s="63">
        <v>9</v>
      </c>
      <c r="B10" s="63" t="s">
        <v>863</v>
      </c>
      <c r="C10" s="63" t="s">
        <v>408</v>
      </c>
      <c r="D10" s="63" t="s">
        <v>864</v>
      </c>
      <c r="E10" s="63"/>
    </row>
    <row r="11" spans="1:5" x14ac:dyDescent="0.35">
      <c r="A11" s="63">
        <v>10</v>
      </c>
      <c r="B11" s="63" t="s">
        <v>865</v>
      </c>
      <c r="C11" s="63" t="s">
        <v>408</v>
      </c>
      <c r="D11" s="63" t="s">
        <v>866</v>
      </c>
      <c r="E11" s="63"/>
    </row>
    <row r="12" spans="1:5" x14ac:dyDescent="0.35">
      <c r="A12" s="63">
        <v>11</v>
      </c>
      <c r="B12" s="63" t="s">
        <v>867</v>
      </c>
      <c r="C12" s="63" t="s">
        <v>868</v>
      </c>
      <c r="D12" s="63" t="s">
        <v>869</v>
      </c>
      <c r="E12" s="63"/>
    </row>
    <row r="13" spans="1:5" x14ac:dyDescent="0.35">
      <c r="A13" s="63">
        <v>12</v>
      </c>
      <c r="B13" s="63" t="s">
        <v>870</v>
      </c>
      <c r="C13" s="63" t="s">
        <v>868</v>
      </c>
      <c r="D13" s="63" t="s">
        <v>871</v>
      </c>
      <c r="E13" s="63"/>
    </row>
    <row r="14" spans="1:5" x14ac:dyDescent="0.35">
      <c r="A14" s="63">
        <v>13</v>
      </c>
      <c r="B14" s="112" t="s">
        <v>872</v>
      </c>
      <c r="C14" s="63" t="s">
        <v>868</v>
      </c>
      <c r="D14" s="63" t="s">
        <v>873</v>
      </c>
      <c r="E14" s="63" t="s">
        <v>874</v>
      </c>
    </row>
    <row r="15" spans="1:5" x14ac:dyDescent="0.35">
      <c r="A15" s="63">
        <v>14</v>
      </c>
      <c r="B15" s="112" t="s">
        <v>875</v>
      </c>
      <c r="C15" s="63" t="s">
        <v>876</v>
      </c>
      <c r="D15" s="63" t="s">
        <v>877</v>
      </c>
      <c r="E15" s="63" t="s">
        <v>874</v>
      </c>
    </row>
    <row r="16" spans="1:5" x14ac:dyDescent="0.35">
      <c r="A16" s="63">
        <v>15</v>
      </c>
      <c r="B16" s="63" t="s">
        <v>878</v>
      </c>
      <c r="C16" s="63" t="s">
        <v>879</v>
      </c>
      <c r="D16" s="63" t="s">
        <v>880</v>
      </c>
      <c r="E16" s="63"/>
    </row>
    <row r="17" spans="1:5" x14ac:dyDescent="0.35">
      <c r="A17" s="63">
        <v>16</v>
      </c>
      <c r="B17" s="63" t="s">
        <v>881</v>
      </c>
      <c r="C17" s="63" t="s">
        <v>882</v>
      </c>
      <c r="D17" s="63" t="s">
        <v>883</v>
      </c>
      <c r="E17" s="63"/>
    </row>
    <row r="18" spans="1:5" x14ac:dyDescent="0.35">
      <c r="A18" s="63">
        <v>17</v>
      </c>
      <c r="B18" s="63" t="s">
        <v>884</v>
      </c>
      <c r="C18" s="63" t="s">
        <v>885</v>
      </c>
      <c r="D18" s="63" t="s">
        <v>886</v>
      </c>
      <c r="E18" s="63"/>
    </row>
    <row r="19" spans="1:5" x14ac:dyDescent="0.35">
      <c r="A19" s="63">
        <v>18</v>
      </c>
      <c r="B19" s="63" t="s">
        <v>887</v>
      </c>
      <c r="C19" s="63" t="s">
        <v>888</v>
      </c>
      <c r="D19" s="63" t="s">
        <v>889</v>
      </c>
      <c r="E19" s="63"/>
    </row>
    <row r="20" spans="1:5" x14ac:dyDescent="0.35">
      <c r="A20" s="63">
        <v>19</v>
      </c>
      <c r="B20" s="63" t="s">
        <v>890</v>
      </c>
      <c r="C20" s="63" t="s">
        <v>891</v>
      </c>
      <c r="D20" s="63" t="s">
        <v>892</v>
      </c>
      <c r="E20" s="63"/>
    </row>
    <row r="21" spans="1:5" x14ac:dyDescent="0.35">
      <c r="A21" s="63">
        <v>20</v>
      </c>
      <c r="B21" s="63" t="s">
        <v>893</v>
      </c>
      <c r="C21" s="63" t="s">
        <v>894</v>
      </c>
      <c r="D21" s="63" t="s">
        <v>895</v>
      </c>
      <c r="E21" s="63"/>
    </row>
    <row r="22" spans="1:5" x14ac:dyDescent="0.35">
      <c r="A22" s="63">
        <v>21</v>
      </c>
      <c r="B22" s="63" t="s">
        <v>896</v>
      </c>
      <c r="C22" s="63" t="s">
        <v>897</v>
      </c>
      <c r="D22" s="63" t="s">
        <v>898</v>
      </c>
      <c r="E22" s="63"/>
    </row>
    <row r="23" spans="1:5" x14ac:dyDescent="0.35">
      <c r="A23" s="63">
        <v>22</v>
      </c>
      <c r="B23" s="63" t="s">
        <v>899</v>
      </c>
      <c r="C23" s="63" t="s">
        <v>900</v>
      </c>
      <c r="D23" s="63" t="s">
        <v>901</v>
      </c>
      <c r="E23" s="63"/>
    </row>
    <row r="24" spans="1:5" x14ac:dyDescent="0.35">
      <c r="A24" s="63">
        <v>23</v>
      </c>
      <c r="B24" s="63" t="s">
        <v>902</v>
      </c>
      <c r="C24" s="63" t="s">
        <v>900</v>
      </c>
      <c r="D24" s="63" t="s">
        <v>903</v>
      </c>
      <c r="E24" s="63"/>
    </row>
    <row r="25" spans="1:5" x14ac:dyDescent="0.35">
      <c r="A25" s="63">
        <v>24</v>
      </c>
      <c r="B25" s="63" t="s">
        <v>904</v>
      </c>
      <c r="C25" s="63" t="s">
        <v>900</v>
      </c>
      <c r="D25" s="63" t="s">
        <v>905</v>
      </c>
      <c r="E25" s="63"/>
    </row>
    <row r="26" spans="1:5" x14ac:dyDescent="0.35">
      <c r="A26" s="63">
        <v>25</v>
      </c>
      <c r="B26" s="63" t="s">
        <v>906</v>
      </c>
      <c r="C26" s="63" t="s">
        <v>408</v>
      </c>
      <c r="D26" s="63" t="s">
        <v>907</v>
      </c>
      <c r="E26" s="63"/>
    </row>
    <row r="27" spans="1:5" x14ac:dyDescent="0.35">
      <c r="A27" s="63">
        <v>26</v>
      </c>
      <c r="B27" s="63" t="s">
        <v>908</v>
      </c>
      <c r="C27" s="63" t="s">
        <v>408</v>
      </c>
      <c r="D27" s="63" t="s">
        <v>909</v>
      </c>
      <c r="E27" s="63"/>
    </row>
    <row r="28" spans="1:5" x14ac:dyDescent="0.35">
      <c r="A28" s="63">
        <v>27</v>
      </c>
      <c r="B28" s="63" t="s">
        <v>910</v>
      </c>
      <c r="C28" s="63" t="s">
        <v>911</v>
      </c>
      <c r="D28" s="113" t="s">
        <v>912</v>
      </c>
      <c r="E28" s="63"/>
    </row>
    <row r="29" spans="1:5" x14ac:dyDescent="0.35">
      <c r="A29" s="63">
        <v>28</v>
      </c>
      <c r="B29" s="63" t="s">
        <v>913</v>
      </c>
      <c r="C29" s="63" t="s">
        <v>408</v>
      </c>
      <c r="D29" s="63" t="s">
        <v>914</v>
      </c>
      <c r="E29" s="63"/>
    </row>
    <row r="30" spans="1:5" x14ac:dyDescent="0.35">
      <c r="A30" s="63">
        <v>29</v>
      </c>
      <c r="B30" s="63" t="s">
        <v>915</v>
      </c>
      <c r="C30" s="63" t="s">
        <v>916</v>
      </c>
      <c r="D30" s="63" t="s">
        <v>917</v>
      </c>
      <c r="E30" s="63"/>
    </row>
    <row r="31" spans="1:5" x14ac:dyDescent="0.35">
      <c r="A31" s="63">
        <v>30</v>
      </c>
      <c r="B31" s="63" t="s">
        <v>918</v>
      </c>
      <c r="C31" s="63" t="s">
        <v>916</v>
      </c>
      <c r="D31" s="63" t="s">
        <v>917</v>
      </c>
      <c r="E31" s="63"/>
    </row>
    <row r="32" spans="1:5" x14ac:dyDescent="0.35">
      <c r="A32" s="63">
        <v>31</v>
      </c>
      <c r="B32" s="63" t="s">
        <v>919</v>
      </c>
      <c r="C32" s="63" t="s">
        <v>916</v>
      </c>
      <c r="D32" s="63" t="s">
        <v>920</v>
      </c>
      <c r="E32" s="63"/>
    </row>
    <row r="33" spans="1:5" x14ac:dyDescent="0.35">
      <c r="A33" s="63">
        <v>32</v>
      </c>
      <c r="B33" s="63" t="s">
        <v>921</v>
      </c>
      <c r="C33" s="63" t="s">
        <v>922</v>
      </c>
      <c r="D33" s="63" t="s">
        <v>923</v>
      </c>
      <c r="E33" s="63"/>
    </row>
    <row r="34" spans="1:5" x14ac:dyDescent="0.35">
      <c r="A34" s="63">
        <v>33</v>
      </c>
      <c r="B34" s="63" t="s">
        <v>924</v>
      </c>
      <c r="C34" s="63" t="s">
        <v>925</v>
      </c>
      <c r="D34" s="63" t="s">
        <v>926</v>
      </c>
      <c r="E34" s="63"/>
    </row>
    <row r="35" spans="1:5" x14ac:dyDescent="0.35">
      <c r="A35" s="63">
        <v>34</v>
      </c>
      <c r="B35" s="63" t="s">
        <v>927</v>
      </c>
      <c r="C35" s="63" t="s">
        <v>928</v>
      </c>
      <c r="D35" s="63" t="s">
        <v>929</v>
      </c>
      <c r="E35" s="63"/>
    </row>
    <row r="36" spans="1:5" x14ac:dyDescent="0.35">
      <c r="A36" s="63">
        <v>35</v>
      </c>
      <c r="B36" s="112" t="s">
        <v>930</v>
      </c>
      <c r="C36" s="63" t="s">
        <v>98</v>
      </c>
      <c r="D36" s="63" t="s">
        <v>931</v>
      </c>
      <c r="E36" s="63"/>
    </row>
    <row r="37" spans="1:5" x14ac:dyDescent="0.35">
      <c r="A37" s="63">
        <v>36</v>
      </c>
      <c r="B37" s="63" t="s">
        <v>932</v>
      </c>
      <c r="C37" s="63" t="s">
        <v>98</v>
      </c>
      <c r="D37" s="63" t="s">
        <v>98</v>
      </c>
      <c r="E37" s="63"/>
    </row>
    <row r="38" spans="1:5" x14ac:dyDescent="0.35">
      <c r="A38" s="63">
        <v>37</v>
      </c>
      <c r="B38" s="63" t="s">
        <v>933</v>
      </c>
      <c r="C38" s="63" t="s">
        <v>98</v>
      </c>
      <c r="D38" s="63" t="s">
        <v>98</v>
      </c>
      <c r="E38" s="63"/>
    </row>
    <row r="39" spans="1:5" x14ac:dyDescent="0.35">
      <c r="A39" s="63">
        <v>38</v>
      </c>
      <c r="B39" s="112" t="s">
        <v>934</v>
      </c>
      <c r="C39" s="63" t="s">
        <v>98</v>
      </c>
      <c r="D39" s="63" t="s">
        <v>98</v>
      </c>
      <c r="E39" s="63"/>
    </row>
    <row r="40" spans="1:5" x14ac:dyDescent="0.35">
      <c r="A40" s="63">
        <v>39</v>
      </c>
      <c r="B40" s="112" t="s">
        <v>935</v>
      </c>
      <c r="C40" s="63" t="s">
        <v>98</v>
      </c>
      <c r="D40" s="63" t="s">
        <v>98</v>
      </c>
      <c r="E40" s="63"/>
    </row>
    <row r="41" spans="1:5" x14ac:dyDescent="0.35">
      <c r="A41" s="63">
        <v>40</v>
      </c>
      <c r="B41" s="63" t="s">
        <v>936</v>
      </c>
      <c r="C41" s="63" t="s">
        <v>98</v>
      </c>
      <c r="D41" s="63" t="s">
        <v>98</v>
      </c>
      <c r="E41" s="63"/>
    </row>
    <row r="42" spans="1:5" x14ac:dyDescent="0.35">
      <c r="A42" s="63">
        <v>41</v>
      </c>
      <c r="B42" s="63" t="s">
        <v>937</v>
      </c>
      <c r="C42" s="63" t="s">
        <v>98</v>
      </c>
      <c r="D42" s="63" t="s">
        <v>98</v>
      </c>
      <c r="E42" s="63"/>
    </row>
    <row r="43" spans="1:5" x14ac:dyDescent="0.35">
      <c r="A43" s="63">
        <v>42</v>
      </c>
      <c r="B43" s="63" t="s">
        <v>938</v>
      </c>
      <c r="C43" s="63" t="s">
        <v>98</v>
      </c>
      <c r="D43" s="63" t="s">
        <v>98</v>
      </c>
      <c r="E43" s="63"/>
    </row>
    <row r="44" spans="1:5" x14ac:dyDescent="0.35">
      <c r="A44" s="63">
        <v>43</v>
      </c>
      <c r="B44" s="63" t="s">
        <v>939</v>
      </c>
      <c r="C44" s="63" t="s">
        <v>98</v>
      </c>
      <c r="D44" s="63" t="s">
        <v>98</v>
      </c>
      <c r="E44" s="63"/>
    </row>
    <row r="45" spans="1:5" x14ac:dyDescent="0.35">
      <c r="A45" s="63">
        <v>44</v>
      </c>
      <c r="B45" s="112" t="s">
        <v>940</v>
      </c>
      <c r="C45" s="63" t="s">
        <v>98</v>
      </c>
      <c r="D45" s="63" t="s">
        <v>98</v>
      </c>
      <c r="E45" s="63"/>
    </row>
    <row r="46" spans="1:5" x14ac:dyDescent="0.35">
      <c r="A46" s="63">
        <v>45</v>
      </c>
      <c r="B46" s="112" t="s">
        <v>941</v>
      </c>
      <c r="C46" s="63" t="s">
        <v>98</v>
      </c>
      <c r="D46" s="63" t="s">
        <v>98</v>
      </c>
      <c r="E46" s="63"/>
    </row>
    <row r="47" spans="1:5" x14ac:dyDescent="0.35">
      <c r="A47" s="63">
        <v>46</v>
      </c>
      <c r="B47" s="63" t="s">
        <v>942</v>
      </c>
      <c r="C47" s="63" t="s">
        <v>98</v>
      </c>
      <c r="D47" s="63" t="s">
        <v>98</v>
      </c>
      <c r="E47" s="63"/>
    </row>
    <row r="48" spans="1:5" x14ac:dyDescent="0.35">
      <c r="A48" s="63">
        <v>47</v>
      </c>
      <c r="B48" s="63" t="s">
        <v>943</v>
      </c>
      <c r="C48" s="63" t="s">
        <v>98</v>
      </c>
      <c r="D48" s="63" t="s">
        <v>98</v>
      </c>
      <c r="E48" s="63"/>
    </row>
    <row r="49" spans="1:5" x14ac:dyDescent="0.35">
      <c r="A49" s="63">
        <v>48</v>
      </c>
      <c r="B49" s="63" t="s">
        <v>944</v>
      </c>
      <c r="C49" s="63" t="s">
        <v>98</v>
      </c>
      <c r="D49" s="63" t="s">
        <v>98</v>
      </c>
      <c r="E49" s="63"/>
    </row>
    <row r="50" spans="1:5" x14ac:dyDescent="0.35">
      <c r="A50" s="63">
        <v>49</v>
      </c>
      <c r="B50" s="63" t="s">
        <v>945</v>
      </c>
      <c r="C50" s="63" t="s">
        <v>98</v>
      </c>
      <c r="D50" s="63" t="s">
        <v>98</v>
      </c>
      <c r="E50" s="63"/>
    </row>
    <row r="51" spans="1:5" x14ac:dyDescent="0.35">
      <c r="A51" s="63">
        <v>50</v>
      </c>
      <c r="B51" s="63" t="s">
        <v>946</v>
      </c>
      <c r="C51" s="63" t="s">
        <v>98</v>
      </c>
      <c r="D51" s="63" t="s">
        <v>98</v>
      </c>
      <c r="E51" s="63"/>
    </row>
    <row r="52" spans="1:5" x14ac:dyDescent="0.35">
      <c r="A52" s="63">
        <v>51</v>
      </c>
      <c r="B52" s="63" t="s">
        <v>947</v>
      </c>
      <c r="C52" s="63" t="s">
        <v>98</v>
      </c>
      <c r="D52" s="63" t="s">
        <v>98</v>
      </c>
      <c r="E52" s="63"/>
    </row>
    <row r="53" spans="1:5" x14ac:dyDescent="0.35">
      <c r="A53" s="63">
        <v>52</v>
      </c>
      <c r="B53" s="63" t="s">
        <v>948</v>
      </c>
      <c r="C53" s="63" t="s">
        <v>98</v>
      </c>
      <c r="D53" s="63" t="s">
        <v>98</v>
      </c>
      <c r="E53" s="63"/>
    </row>
    <row r="54" spans="1:5" x14ac:dyDescent="0.35">
      <c r="A54" s="63">
        <v>53</v>
      </c>
      <c r="B54" s="63" t="s">
        <v>949</v>
      </c>
      <c r="C54" s="63" t="s">
        <v>98</v>
      </c>
      <c r="D54" s="63" t="s">
        <v>98</v>
      </c>
      <c r="E54" s="63"/>
    </row>
    <row r="55" spans="1:5" x14ac:dyDescent="0.35">
      <c r="A55" s="63">
        <v>54</v>
      </c>
      <c r="B55" s="63" t="s">
        <v>950</v>
      </c>
      <c r="C55" s="63" t="s">
        <v>98</v>
      </c>
      <c r="D55" s="63" t="s">
        <v>98</v>
      </c>
      <c r="E55" s="63"/>
    </row>
    <row r="56" spans="1:5" x14ac:dyDescent="0.35">
      <c r="A56" s="63">
        <v>55</v>
      </c>
      <c r="B56" s="63" t="s">
        <v>951</v>
      </c>
      <c r="C56" s="63" t="s">
        <v>98</v>
      </c>
      <c r="D56" s="63" t="s">
        <v>98</v>
      </c>
      <c r="E56" s="63"/>
    </row>
    <row r="57" spans="1:5" x14ac:dyDescent="0.35">
      <c r="A57" s="63">
        <v>56</v>
      </c>
      <c r="B57" s="63" t="s">
        <v>952</v>
      </c>
      <c r="C57" s="63" t="s">
        <v>98</v>
      </c>
      <c r="D57" s="63" t="s">
        <v>98</v>
      </c>
      <c r="E57" s="63"/>
    </row>
    <row r="58" spans="1:5" x14ac:dyDescent="0.35">
      <c r="A58" s="63">
        <v>57</v>
      </c>
      <c r="B58" s="63" t="s">
        <v>953</v>
      </c>
      <c r="C58" s="63" t="s">
        <v>98</v>
      </c>
      <c r="D58" s="63" t="s">
        <v>98</v>
      </c>
      <c r="E58" s="63"/>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B564-F3CB-4E2A-9B8E-1C03D5BA2C47}">
  <dimension ref="A1:B6"/>
  <sheetViews>
    <sheetView zoomScale="130" zoomScaleNormal="130" workbookViewId="0">
      <selection activeCell="H14" sqref="H14"/>
    </sheetView>
  </sheetViews>
  <sheetFormatPr defaultRowHeight="14.5" x14ac:dyDescent="0.35"/>
  <cols>
    <col min="1" max="1" width="20" bestFit="1" customWidth="1"/>
    <col min="2" max="3" width="29.26953125" bestFit="1" customWidth="1"/>
    <col min="4" max="4" width="36.54296875" bestFit="1" customWidth="1"/>
    <col min="5" max="5" width="7.453125" bestFit="1" customWidth="1"/>
    <col min="6" max="6" width="11.453125" bestFit="1" customWidth="1"/>
  </cols>
  <sheetData>
    <row r="1" spans="1:2" x14ac:dyDescent="0.35">
      <c r="A1" s="135" t="s">
        <v>954</v>
      </c>
      <c r="B1" t="s">
        <v>955</v>
      </c>
    </row>
    <row r="3" spans="1:2" x14ac:dyDescent="0.35">
      <c r="A3" s="135" t="s">
        <v>956</v>
      </c>
      <c r="B3" t="s">
        <v>957</v>
      </c>
    </row>
    <row r="4" spans="1:2" x14ac:dyDescent="0.35">
      <c r="A4" t="s">
        <v>958</v>
      </c>
      <c r="B4">
        <v>13</v>
      </c>
    </row>
    <row r="5" spans="1:2" x14ac:dyDescent="0.35">
      <c r="A5" t="s">
        <v>959</v>
      </c>
      <c r="B5">
        <v>3</v>
      </c>
    </row>
    <row r="6" spans="1:2" x14ac:dyDescent="0.35">
      <c r="A6" t="s">
        <v>960</v>
      </c>
      <c r="B6">
        <v>16</v>
      </c>
    </row>
  </sheetData>
  <pageMargins left="0.7" right="0.7" top="0.75" bottom="0.75" header="0.3" footer="0.3"/>
  <pageSetup paperSize="9" orientation="portrait" verticalDpi="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117CE-362D-477E-B5AA-5A63EAA18C22}">
  <dimension ref="A1:H43"/>
  <sheetViews>
    <sheetView zoomScaleNormal="100" workbookViewId="0">
      <selection activeCell="A30" sqref="A30"/>
    </sheetView>
  </sheetViews>
  <sheetFormatPr defaultColWidth="26.453125" defaultRowHeight="14.5" x14ac:dyDescent="0.35"/>
  <cols>
    <col min="1" max="1" width="27.81640625" customWidth="1"/>
    <col min="2" max="2" width="30.81640625" bestFit="1" customWidth="1"/>
    <col min="3" max="3" width="18.1796875" bestFit="1" customWidth="1"/>
    <col min="4" max="4" width="23.1796875" style="61" bestFit="1" customWidth="1"/>
    <col min="5" max="5" width="17" style="61" bestFit="1" customWidth="1"/>
    <col min="6" max="6" width="19" bestFit="1" customWidth="1"/>
    <col min="7" max="7" width="104.81640625" style="110" bestFit="1" customWidth="1"/>
  </cols>
  <sheetData>
    <row r="1" spans="1:8" x14ac:dyDescent="0.35">
      <c r="A1" s="3" t="s">
        <v>961</v>
      </c>
      <c r="B1" s="3" t="s">
        <v>962</v>
      </c>
      <c r="C1" s="3" t="s">
        <v>963</v>
      </c>
      <c r="D1" s="58" t="s">
        <v>954</v>
      </c>
      <c r="E1" s="58" t="s">
        <v>956</v>
      </c>
      <c r="F1" s="3" t="s">
        <v>964</v>
      </c>
      <c r="G1" s="103" t="s">
        <v>7</v>
      </c>
      <c r="H1" t="s">
        <v>965</v>
      </c>
    </row>
    <row r="2" spans="1:8" x14ac:dyDescent="0.35">
      <c r="A2" s="91" t="s">
        <v>385</v>
      </c>
      <c r="B2" s="91" t="s">
        <v>966</v>
      </c>
      <c r="C2" s="91" t="s">
        <v>967</v>
      </c>
      <c r="D2" s="94" t="s">
        <v>955</v>
      </c>
      <c r="E2" s="94" t="s">
        <v>959</v>
      </c>
      <c r="F2" s="95" t="s">
        <v>958</v>
      </c>
      <c r="G2" s="104" t="s">
        <v>968</v>
      </c>
    </row>
    <row r="3" spans="1:8" x14ac:dyDescent="0.35">
      <c r="A3" s="91" t="s">
        <v>387</v>
      </c>
      <c r="B3" s="91" t="s">
        <v>969</v>
      </c>
      <c r="C3" s="91" t="s">
        <v>313</v>
      </c>
      <c r="D3" s="94" t="s">
        <v>955</v>
      </c>
      <c r="E3" s="95" t="s">
        <v>958</v>
      </c>
      <c r="F3" s="91"/>
      <c r="G3" s="104" t="s">
        <v>970</v>
      </c>
    </row>
    <row r="4" spans="1:8" s="61" customFormat="1" ht="65" x14ac:dyDescent="0.35">
      <c r="A4" s="92" t="s">
        <v>390</v>
      </c>
      <c r="B4" s="92" t="s">
        <v>971</v>
      </c>
      <c r="C4" s="92" t="s">
        <v>265</v>
      </c>
      <c r="D4" s="94" t="s">
        <v>955</v>
      </c>
      <c r="E4" s="95" t="s">
        <v>958</v>
      </c>
      <c r="F4" s="92"/>
      <c r="G4" s="105" t="s">
        <v>972</v>
      </c>
    </row>
    <row r="5" spans="1:8" hidden="1" x14ac:dyDescent="0.35">
      <c r="A5" s="91" t="s">
        <v>392</v>
      </c>
      <c r="B5" s="91"/>
      <c r="C5" s="91" t="s">
        <v>265</v>
      </c>
      <c r="D5" s="92" t="s">
        <v>973</v>
      </c>
      <c r="E5" s="92" t="s">
        <v>973</v>
      </c>
      <c r="F5" s="91"/>
      <c r="G5" s="104"/>
    </row>
    <row r="6" spans="1:8" hidden="1" x14ac:dyDescent="0.35">
      <c r="A6" s="93" t="s">
        <v>974</v>
      </c>
      <c r="B6" s="93"/>
      <c r="C6" s="93" t="s">
        <v>967</v>
      </c>
      <c r="D6" s="92" t="s">
        <v>973</v>
      </c>
      <c r="E6" s="92" t="s">
        <v>973</v>
      </c>
      <c r="F6" s="91"/>
      <c r="G6" s="104"/>
    </row>
    <row r="7" spans="1:8" s="61" customFormat="1" ht="26" hidden="1" x14ac:dyDescent="0.35">
      <c r="A7" s="93" t="s">
        <v>975</v>
      </c>
      <c r="B7" s="93"/>
      <c r="C7" s="93" t="s">
        <v>967</v>
      </c>
      <c r="D7" s="92" t="s">
        <v>973</v>
      </c>
      <c r="E7" s="92" t="s">
        <v>973</v>
      </c>
      <c r="F7" s="92"/>
      <c r="G7" s="105" t="s">
        <v>976</v>
      </c>
    </row>
    <row r="8" spans="1:8" hidden="1" x14ac:dyDescent="0.35">
      <c r="A8" s="93" t="s">
        <v>977</v>
      </c>
      <c r="B8" s="93"/>
      <c r="C8" s="93" t="s">
        <v>967</v>
      </c>
      <c r="D8" s="92" t="s">
        <v>973</v>
      </c>
      <c r="E8" s="92" t="s">
        <v>973</v>
      </c>
      <c r="F8" s="91"/>
      <c r="G8" s="104"/>
    </row>
    <row r="9" spans="1:8" hidden="1" x14ac:dyDescent="0.35">
      <c r="A9" s="93" t="s">
        <v>978</v>
      </c>
      <c r="B9" s="93"/>
      <c r="C9" s="93" t="s">
        <v>967</v>
      </c>
      <c r="D9" s="92" t="s">
        <v>973</v>
      </c>
      <c r="E9" s="92" t="s">
        <v>973</v>
      </c>
      <c r="F9" s="91"/>
      <c r="G9" s="104" t="s">
        <v>970</v>
      </c>
    </row>
    <row r="10" spans="1:8" hidden="1" x14ac:dyDescent="0.35">
      <c r="A10" s="93" t="s">
        <v>979</v>
      </c>
      <c r="B10" s="93"/>
      <c r="C10" s="93" t="s">
        <v>265</v>
      </c>
      <c r="D10" s="92" t="s">
        <v>973</v>
      </c>
      <c r="E10" s="92" t="s">
        <v>973</v>
      </c>
      <c r="F10" s="91"/>
      <c r="G10" s="104"/>
    </row>
    <row r="11" spans="1:8" hidden="1" x14ac:dyDescent="0.35">
      <c r="A11" s="93" t="s">
        <v>980</v>
      </c>
      <c r="B11" s="93"/>
      <c r="C11" s="93" t="s">
        <v>265</v>
      </c>
      <c r="D11" s="92" t="s">
        <v>973</v>
      </c>
      <c r="E11" s="92" t="s">
        <v>973</v>
      </c>
      <c r="F11" s="91"/>
      <c r="G11" s="104" t="s">
        <v>981</v>
      </c>
    </row>
    <row r="12" spans="1:8" ht="26" hidden="1" x14ac:dyDescent="0.35">
      <c r="A12" s="93" t="s">
        <v>982</v>
      </c>
      <c r="B12" s="93"/>
      <c r="C12" s="93" t="s">
        <v>265</v>
      </c>
      <c r="D12" s="92" t="s">
        <v>973</v>
      </c>
      <c r="E12" s="92" t="s">
        <v>973</v>
      </c>
      <c r="F12" s="91"/>
      <c r="G12" s="105" t="s">
        <v>983</v>
      </c>
    </row>
    <row r="13" spans="1:8" hidden="1" x14ac:dyDescent="0.35">
      <c r="A13" s="93" t="s">
        <v>984</v>
      </c>
      <c r="B13" s="93"/>
      <c r="C13" s="93" t="s">
        <v>265</v>
      </c>
      <c r="D13" s="92" t="s">
        <v>973</v>
      </c>
      <c r="E13" s="92" t="s">
        <v>973</v>
      </c>
      <c r="F13" s="91"/>
      <c r="G13" s="104" t="s">
        <v>970</v>
      </c>
    </row>
    <row r="14" spans="1:8" hidden="1" x14ac:dyDescent="0.35">
      <c r="A14" s="93" t="s">
        <v>985</v>
      </c>
      <c r="B14" s="93"/>
      <c r="C14" s="93" t="s">
        <v>967</v>
      </c>
      <c r="D14" s="92" t="s">
        <v>973</v>
      </c>
      <c r="E14" s="92" t="s">
        <v>973</v>
      </c>
      <c r="F14" s="91"/>
      <c r="G14" s="104" t="s">
        <v>986</v>
      </c>
    </row>
    <row r="15" spans="1:8" hidden="1" x14ac:dyDescent="0.35">
      <c r="A15" s="93" t="s">
        <v>987</v>
      </c>
      <c r="B15" s="93"/>
      <c r="C15" s="93" t="s">
        <v>967</v>
      </c>
      <c r="D15" s="92" t="s">
        <v>973</v>
      </c>
      <c r="E15" s="92" t="s">
        <v>973</v>
      </c>
      <c r="F15" s="91"/>
      <c r="G15" s="104" t="s">
        <v>970</v>
      </c>
    </row>
    <row r="16" spans="1:8" hidden="1" x14ac:dyDescent="0.35">
      <c r="A16" s="93" t="s">
        <v>988</v>
      </c>
      <c r="B16" s="93"/>
      <c r="C16" s="93" t="s">
        <v>967</v>
      </c>
      <c r="D16" s="92" t="s">
        <v>973</v>
      </c>
      <c r="E16" s="92" t="s">
        <v>973</v>
      </c>
      <c r="F16" s="91"/>
      <c r="G16" s="104"/>
    </row>
    <row r="17" spans="1:7" hidden="1" x14ac:dyDescent="0.35">
      <c r="A17" s="93" t="s">
        <v>989</v>
      </c>
      <c r="B17" s="93"/>
      <c r="C17" s="93" t="s">
        <v>967</v>
      </c>
      <c r="D17" s="92" t="s">
        <v>973</v>
      </c>
      <c r="E17" s="92" t="s">
        <v>973</v>
      </c>
      <c r="F17" s="91"/>
      <c r="G17" s="104"/>
    </row>
    <row r="18" spans="1:7" ht="9.75" hidden="1" customHeight="1" x14ac:dyDescent="0.35">
      <c r="A18" s="93" t="s">
        <v>990</v>
      </c>
      <c r="B18" s="93"/>
      <c r="C18" s="93" t="s">
        <v>967</v>
      </c>
      <c r="D18" s="92" t="s">
        <v>973</v>
      </c>
      <c r="E18" s="92" t="s">
        <v>973</v>
      </c>
      <c r="F18" s="91"/>
      <c r="G18" s="104"/>
    </row>
    <row r="19" spans="1:7" x14ac:dyDescent="0.35">
      <c r="A19" s="20" t="s">
        <v>991</v>
      </c>
      <c r="B19" s="20" t="s">
        <v>992</v>
      </c>
      <c r="C19" s="93" t="s">
        <v>967</v>
      </c>
      <c r="D19" s="94" t="s">
        <v>955</v>
      </c>
      <c r="E19" s="95" t="s">
        <v>958</v>
      </c>
      <c r="F19" s="20"/>
      <c r="G19" s="97" t="s">
        <v>970</v>
      </c>
    </row>
    <row r="20" spans="1:7" x14ac:dyDescent="0.35">
      <c r="A20" s="20" t="s">
        <v>993</v>
      </c>
      <c r="B20" s="20" t="s">
        <v>994</v>
      </c>
      <c r="C20" s="93" t="s">
        <v>967</v>
      </c>
      <c r="D20" s="94" t="s">
        <v>955</v>
      </c>
      <c r="E20" s="95" t="s">
        <v>958</v>
      </c>
      <c r="F20" s="20"/>
      <c r="G20" s="97" t="s">
        <v>995</v>
      </c>
    </row>
    <row r="21" spans="1:7" ht="34.5" customHeight="1" x14ac:dyDescent="0.35">
      <c r="A21" s="20" t="s">
        <v>996</v>
      </c>
      <c r="B21" s="20" t="s">
        <v>997</v>
      </c>
      <c r="C21" s="63" t="s">
        <v>265</v>
      </c>
      <c r="D21" s="94" t="s">
        <v>955</v>
      </c>
      <c r="E21" s="95" t="s">
        <v>958</v>
      </c>
      <c r="F21" s="20"/>
      <c r="G21" s="106" t="s">
        <v>998</v>
      </c>
    </row>
    <row r="22" spans="1:7" ht="108.75" customHeight="1" x14ac:dyDescent="0.35">
      <c r="A22" s="20" t="s">
        <v>999</v>
      </c>
      <c r="B22" s="20" t="s">
        <v>1000</v>
      </c>
      <c r="C22" s="63" t="s">
        <v>265</v>
      </c>
      <c r="D22" s="94" t="s">
        <v>955</v>
      </c>
      <c r="E22" s="101" t="s">
        <v>959</v>
      </c>
      <c r="F22" s="20"/>
      <c r="G22" s="97" t="s">
        <v>1001</v>
      </c>
    </row>
    <row r="23" spans="1:7" x14ac:dyDescent="0.35">
      <c r="A23" s="20" t="s">
        <v>1002</v>
      </c>
      <c r="B23" s="20"/>
      <c r="C23" s="63" t="s">
        <v>1003</v>
      </c>
      <c r="D23" s="60"/>
      <c r="E23" s="60"/>
      <c r="F23" s="20"/>
      <c r="G23" s="107" t="s">
        <v>1004</v>
      </c>
    </row>
    <row r="24" spans="1:7" ht="121.5" customHeight="1" x14ac:dyDescent="0.35">
      <c r="A24" s="20" t="s">
        <v>1005</v>
      </c>
      <c r="B24" s="20" t="s">
        <v>1006</v>
      </c>
      <c r="C24" s="63" t="s">
        <v>1003</v>
      </c>
      <c r="D24" s="94" t="s">
        <v>955</v>
      </c>
      <c r="E24" s="95" t="s">
        <v>958</v>
      </c>
      <c r="F24" s="20"/>
      <c r="G24" s="97" t="s">
        <v>1007</v>
      </c>
    </row>
    <row r="25" spans="1:7" ht="37.5" customHeight="1" x14ac:dyDescent="0.35">
      <c r="A25" s="20" t="s">
        <v>1008</v>
      </c>
      <c r="B25" s="20"/>
      <c r="C25" s="63" t="s">
        <v>1009</v>
      </c>
      <c r="D25" s="94" t="s">
        <v>955</v>
      </c>
      <c r="E25" s="95" t="s">
        <v>958</v>
      </c>
      <c r="F25" s="20"/>
      <c r="G25" s="108" t="s">
        <v>1010</v>
      </c>
    </row>
    <row r="26" spans="1:7" ht="62.25" customHeight="1" x14ac:dyDescent="0.35">
      <c r="A26" s="20" t="s">
        <v>1011</v>
      </c>
      <c r="B26" s="20"/>
      <c r="C26" s="63" t="s">
        <v>1012</v>
      </c>
      <c r="D26" s="96" t="s">
        <v>1013</v>
      </c>
      <c r="E26" s="60"/>
      <c r="F26" s="20"/>
      <c r="G26" s="108" t="s">
        <v>1014</v>
      </c>
    </row>
    <row r="27" spans="1:7" x14ac:dyDescent="0.35">
      <c r="A27" s="20" t="s">
        <v>1015</v>
      </c>
      <c r="B27" s="20"/>
      <c r="C27" s="63" t="s">
        <v>313</v>
      </c>
      <c r="D27" s="60"/>
      <c r="E27" s="60"/>
      <c r="F27" s="20"/>
      <c r="G27" s="107" t="s">
        <v>1004</v>
      </c>
    </row>
    <row r="28" spans="1:7" ht="43.5" x14ac:dyDescent="0.35">
      <c r="A28" s="20" t="s">
        <v>1016</v>
      </c>
      <c r="B28" s="20" t="s">
        <v>1017</v>
      </c>
      <c r="C28" s="63" t="s">
        <v>967</v>
      </c>
      <c r="D28" s="114" t="s">
        <v>955</v>
      </c>
      <c r="E28" s="115" t="s">
        <v>958</v>
      </c>
      <c r="F28" s="20"/>
      <c r="G28" s="116" t="s">
        <v>1018</v>
      </c>
    </row>
    <row r="29" spans="1:7" ht="43.5" x14ac:dyDescent="0.35">
      <c r="A29" s="20" t="s">
        <v>1019</v>
      </c>
      <c r="B29" s="20" t="s">
        <v>1020</v>
      </c>
      <c r="C29" s="63" t="s">
        <v>265</v>
      </c>
      <c r="D29" s="114" t="s">
        <v>955</v>
      </c>
      <c r="E29" s="115" t="s">
        <v>958</v>
      </c>
      <c r="F29" s="20"/>
      <c r="G29" s="116" t="s">
        <v>1021</v>
      </c>
    </row>
    <row r="30" spans="1:7" x14ac:dyDescent="0.35">
      <c r="A30" s="20" t="s">
        <v>1022</v>
      </c>
      <c r="B30" s="20"/>
      <c r="C30" s="63" t="s">
        <v>265</v>
      </c>
      <c r="D30" s="60"/>
      <c r="E30" s="60"/>
      <c r="F30" s="20"/>
      <c r="G30" s="107" t="s">
        <v>1004</v>
      </c>
    </row>
    <row r="31" spans="1:7" x14ac:dyDescent="0.35">
      <c r="A31" s="20" t="s">
        <v>1023</v>
      </c>
      <c r="B31" s="20"/>
      <c r="C31" s="63" t="s">
        <v>967</v>
      </c>
      <c r="D31" s="60"/>
      <c r="E31" s="60"/>
      <c r="F31" s="20"/>
      <c r="G31" s="107" t="s">
        <v>1004</v>
      </c>
    </row>
    <row r="32" spans="1:7" x14ac:dyDescent="0.35">
      <c r="A32" s="20" t="s">
        <v>1024</v>
      </c>
      <c r="B32" s="20" t="s">
        <v>1025</v>
      </c>
      <c r="C32" s="63" t="s">
        <v>265</v>
      </c>
      <c r="D32" s="114" t="s">
        <v>955</v>
      </c>
      <c r="E32" s="114" t="s">
        <v>959</v>
      </c>
      <c r="F32" s="20"/>
      <c r="G32" s="107"/>
    </row>
    <row r="33" spans="1:7" ht="43.5" x14ac:dyDescent="0.35">
      <c r="A33" s="20" t="s">
        <v>1026</v>
      </c>
      <c r="B33" s="20" t="s">
        <v>1027</v>
      </c>
      <c r="C33" s="63" t="s">
        <v>967</v>
      </c>
      <c r="D33" s="114" t="s">
        <v>955</v>
      </c>
      <c r="E33" s="115" t="s">
        <v>958</v>
      </c>
      <c r="F33" s="20"/>
      <c r="G33" s="117" t="s">
        <v>1028</v>
      </c>
    </row>
    <row r="34" spans="1:7" x14ac:dyDescent="0.35">
      <c r="A34" s="20" t="s">
        <v>1029</v>
      </c>
      <c r="B34" s="20"/>
      <c r="C34" s="63" t="s">
        <v>967</v>
      </c>
      <c r="D34" s="60"/>
      <c r="E34" s="60"/>
      <c r="F34" s="20"/>
      <c r="G34" s="107" t="s">
        <v>1004</v>
      </c>
    </row>
    <row r="35" spans="1:7" ht="43.5" x14ac:dyDescent="0.35">
      <c r="A35" s="20" t="s">
        <v>1030</v>
      </c>
      <c r="B35" s="1" t="s">
        <v>1031</v>
      </c>
      <c r="C35" s="63" t="s">
        <v>313</v>
      </c>
      <c r="D35" s="114" t="s">
        <v>955</v>
      </c>
      <c r="E35" s="115" t="s">
        <v>958</v>
      </c>
      <c r="F35" s="20"/>
      <c r="G35" s="117" t="s">
        <v>1021</v>
      </c>
    </row>
    <row r="36" spans="1:7" ht="43.5" x14ac:dyDescent="0.35">
      <c r="A36" s="20" t="s">
        <v>1032</v>
      </c>
      <c r="B36" s="1" t="s">
        <v>1033</v>
      </c>
      <c r="C36" s="63" t="s">
        <v>313</v>
      </c>
      <c r="D36" s="114" t="s">
        <v>955</v>
      </c>
      <c r="E36" s="115" t="s">
        <v>958</v>
      </c>
      <c r="F36" s="20"/>
      <c r="G36" s="117" t="s">
        <v>1021</v>
      </c>
    </row>
    <row r="37" spans="1:7" x14ac:dyDescent="0.35">
      <c r="A37" s="20" t="s">
        <v>1034</v>
      </c>
      <c r="B37" s="20" t="s">
        <v>1035</v>
      </c>
      <c r="C37" s="63" t="s">
        <v>967</v>
      </c>
      <c r="D37" s="114" t="s">
        <v>955</v>
      </c>
      <c r="E37" s="115" t="s">
        <v>958</v>
      </c>
      <c r="F37" s="20"/>
      <c r="G37" s="118" t="s">
        <v>1036</v>
      </c>
    </row>
    <row r="38" spans="1:7" x14ac:dyDescent="0.35">
      <c r="A38" s="20" t="s">
        <v>1037</v>
      </c>
      <c r="B38" s="20"/>
      <c r="C38" s="63" t="s">
        <v>967</v>
      </c>
      <c r="D38" s="60"/>
      <c r="E38" s="60"/>
      <c r="F38" s="20"/>
      <c r="G38" s="107" t="s">
        <v>1004</v>
      </c>
    </row>
    <row r="39" spans="1:7" x14ac:dyDescent="0.35">
      <c r="A39" s="20" t="s">
        <v>1038</v>
      </c>
      <c r="B39" s="20"/>
      <c r="C39" s="63" t="s">
        <v>967</v>
      </c>
      <c r="D39" s="60"/>
      <c r="E39" s="60"/>
      <c r="F39" s="20"/>
      <c r="G39" s="107" t="s">
        <v>1004</v>
      </c>
    </row>
    <row r="40" spans="1:7" x14ac:dyDescent="0.35">
      <c r="A40" s="98" t="s">
        <v>1039</v>
      </c>
      <c r="B40" s="98"/>
      <c r="C40" s="99" t="s">
        <v>265</v>
      </c>
      <c r="D40" s="100"/>
      <c r="E40" s="100"/>
      <c r="F40" s="98"/>
      <c r="G40" s="109" t="s">
        <v>1004</v>
      </c>
    </row>
    <row r="41" spans="1:7" x14ac:dyDescent="0.35">
      <c r="A41" s="98" t="s">
        <v>1040</v>
      </c>
      <c r="B41" s="20" t="s">
        <v>1041</v>
      </c>
      <c r="C41" s="99" t="s">
        <v>967</v>
      </c>
      <c r="D41" s="114" t="s">
        <v>955</v>
      </c>
      <c r="E41" s="115" t="s">
        <v>958</v>
      </c>
      <c r="F41" s="98"/>
      <c r="G41" s="134" t="s">
        <v>1036</v>
      </c>
    </row>
    <row r="42" spans="1:7" x14ac:dyDescent="0.35">
      <c r="A42" s="20" t="s">
        <v>1042</v>
      </c>
      <c r="B42" s="20"/>
      <c r="C42" s="119" t="s">
        <v>265</v>
      </c>
      <c r="D42" s="60"/>
      <c r="E42" s="60"/>
      <c r="F42" s="20"/>
      <c r="G42" s="109" t="s">
        <v>1043</v>
      </c>
    </row>
    <row r="43" spans="1:7" x14ac:dyDescent="0.35">
      <c r="A43" s="20" t="s">
        <v>1044</v>
      </c>
      <c r="B43" s="20"/>
      <c r="C43" s="119" t="s">
        <v>967</v>
      </c>
      <c r="D43" s="60"/>
      <c r="E43" s="60"/>
      <c r="F43" s="120"/>
      <c r="G43" s="107" t="s">
        <v>1043</v>
      </c>
    </row>
  </sheetData>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FADC6-29F5-4150-A894-EC7BD8F52781}">
  <dimension ref="A1"/>
  <sheetViews>
    <sheetView workbookViewId="0"/>
  </sheetViews>
  <sheetFormatPr defaultRowHeight="14.5" x14ac:dyDescent="0.35"/>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FEEF-19A7-4BC9-8495-15EBDAA4BCD1}">
  <dimension ref="A1:H17"/>
  <sheetViews>
    <sheetView workbookViewId="0"/>
  </sheetViews>
  <sheetFormatPr defaultRowHeight="14.5" x14ac:dyDescent="0.35"/>
  <cols>
    <col min="3" max="3" width="12.7265625" customWidth="1"/>
    <col min="4" max="4" width="27.1796875" customWidth="1"/>
    <col min="5" max="6" width="32.81640625" customWidth="1"/>
    <col min="7" max="7" width="18.453125" customWidth="1"/>
  </cols>
  <sheetData>
    <row r="1" spans="1:8" ht="39.5" x14ac:dyDescent="0.35">
      <c r="A1" s="122" t="s">
        <v>0</v>
      </c>
      <c r="B1" s="32" t="s">
        <v>1</v>
      </c>
      <c r="C1" s="32" t="s">
        <v>2</v>
      </c>
      <c r="D1" s="32" t="s">
        <v>3</v>
      </c>
      <c r="E1" s="32" t="s">
        <v>4</v>
      </c>
      <c r="F1" s="32" t="s">
        <v>5</v>
      </c>
      <c r="G1" s="32" t="s">
        <v>6</v>
      </c>
      <c r="H1" s="32" t="s">
        <v>7</v>
      </c>
    </row>
    <row r="2" spans="1:8" ht="33" customHeight="1" x14ac:dyDescent="0.35">
      <c r="A2" s="148" t="s">
        <v>1045</v>
      </c>
      <c r="B2" s="148" t="s">
        <v>1046</v>
      </c>
      <c r="C2" s="123" t="s">
        <v>1047</v>
      </c>
      <c r="D2" s="123" t="s">
        <v>93</v>
      </c>
      <c r="E2" s="123" t="s">
        <v>94</v>
      </c>
      <c r="F2" s="123" t="s">
        <v>1048</v>
      </c>
      <c r="G2" s="123" t="s">
        <v>96</v>
      </c>
      <c r="H2" s="123" t="s">
        <v>98</v>
      </c>
    </row>
    <row r="3" spans="1:8" ht="35.25" customHeight="1" x14ac:dyDescent="0.35">
      <c r="A3" s="149"/>
      <c r="B3" s="149"/>
      <c r="C3" s="123" t="s">
        <v>1047</v>
      </c>
      <c r="D3" s="124" t="s">
        <v>97</v>
      </c>
      <c r="E3" s="124" t="s">
        <v>98</v>
      </c>
      <c r="F3" s="124" t="s">
        <v>98</v>
      </c>
      <c r="G3" s="124" t="s">
        <v>99</v>
      </c>
      <c r="H3" s="124" t="s">
        <v>98</v>
      </c>
    </row>
    <row r="4" spans="1:8" ht="247" x14ac:dyDescent="0.35">
      <c r="A4" s="149"/>
      <c r="B4" s="149"/>
      <c r="C4" s="123" t="s">
        <v>1047</v>
      </c>
      <c r="D4" s="124" t="s">
        <v>1049</v>
      </c>
      <c r="E4" s="55" t="s">
        <v>1050</v>
      </c>
      <c r="F4" s="124" t="s">
        <v>98</v>
      </c>
      <c r="G4" s="124" t="s">
        <v>102</v>
      </c>
      <c r="H4" s="124" t="s">
        <v>98</v>
      </c>
    </row>
    <row r="5" spans="1:8" ht="208" x14ac:dyDescent="0.35">
      <c r="A5" s="149"/>
      <c r="B5" s="149"/>
      <c r="C5" s="123" t="s">
        <v>1047</v>
      </c>
      <c r="D5" s="124" t="s">
        <v>1051</v>
      </c>
      <c r="E5" s="55" t="s">
        <v>1052</v>
      </c>
      <c r="F5" s="124" t="s">
        <v>98</v>
      </c>
      <c r="G5" s="124" t="s">
        <v>1053</v>
      </c>
      <c r="H5" s="124" t="s">
        <v>98</v>
      </c>
    </row>
    <row r="6" spans="1:8" ht="104" x14ac:dyDescent="0.35">
      <c r="A6" s="149"/>
      <c r="B6" s="149"/>
      <c r="C6" s="123" t="s">
        <v>1047</v>
      </c>
      <c r="D6" s="124" t="s">
        <v>1054</v>
      </c>
      <c r="E6" s="55" t="s">
        <v>1055</v>
      </c>
      <c r="F6" s="124" t="s">
        <v>98</v>
      </c>
      <c r="G6" s="124" t="s">
        <v>1056</v>
      </c>
      <c r="H6" s="124" t="s">
        <v>98</v>
      </c>
    </row>
    <row r="7" spans="1:8" ht="221" x14ac:dyDescent="0.35">
      <c r="A7" s="149"/>
      <c r="B7" s="149"/>
      <c r="C7" s="123" t="s">
        <v>1047</v>
      </c>
      <c r="D7" s="124" t="s">
        <v>1057</v>
      </c>
      <c r="E7" s="55" t="s">
        <v>1058</v>
      </c>
      <c r="F7" s="124" t="s">
        <v>98</v>
      </c>
      <c r="G7" s="124" t="s">
        <v>1059</v>
      </c>
      <c r="H7" s="124" t="s">
        <v>98</v>
      </c>
    </row>
    <row r="8" spans="1:8" ht="135" customHeight="1" x14ac:dyDescent="0.35">
      <c r="A8" s="149"/>
      <c r="B8" s="149"/>
      <c r="C8" s="123" t="s">
        <v>1047</v>
      </c>
      <c r="D8" s="124" t="s">
        <v>1060</v>
      </c>
      <c r="E8" s="55" t="s">
        <v>1061</v>
      </c>
      <c r="F8" s="124" t="s">
        <v>98</v>
      </c>
      <c r="G8" s="124" t="s">
        <v>1062</v>
      </c>
      <c r="H8" s="124" t="s">
        <v>98</v>
      </c>
    </row>
    <row r="9" spans="1:8" ht="46.5" customHeight="1" x14ac:dyDescent="0.35">
      <c r="A9" s="149"/>
      <c r="B9" s="149"/>
      <c r="C9" s="123" t="s">
        <v>1047</v>
      </c>
      <c r="D9" s="124" t="s">
        <v>1063</v>
      </c>
      <c r="E9" s="55" t="s">
        <v>125</v>
      </c>
      <c r="F9" s="124" t="s">
        <v>98</v>
      </c>
      <c r="G9" s="124" t="s">
        <v>1064</v>
      </c>
      <c r="H9" s="124" t="s">
        <v>98</v>
      </c>
    </row>
    <row r="10" spans="1:8" ht="32.25" customHeight="1" x14ac:dyDescent="0.35">
      <c r="A10" s="149"/>
      <c r="B10" s="149"/>
      <c r="C10" s="123" t="s">
        <v>1047</v>
      </c>
      <c r="D10" s="124" t="s">
        <v>1065</v>
      </c>
      <c r="E10" s="55" t="s">
        <v>1066</v>
      </c>
      <c r="F10" s="124" t="s">
        <v>98</v>
      </c>
      <c r="G10" s="124" t="s">
        <v>1067</v>
      </c>
      <c r="H10" s="124" t="s">
        <v>98</v>
      </c>
    </row>
    <row r="11" spans="1:8" ht="104" x14ac:dyDescent="0.35">
      <c r="A11" s="149"/>
      <c r="B11" s="149"/>
      <c r="C11" s="123" t="s">
        <v>1047</v>
      </c>
      <c r="D11" s="124" t="s">
        <v>1068</v>
      </c>
      <c r="E11" s="55" t="s">
        <v>1069</v>
      </c>
      <c r="F11" s="124" t="s">
        <v>98</v>
      </c>
      <c r="G11" s="124" t="s">
        <v>1070</v>
      </c>
      <c r="H11" s="124" t="s">
        <v>98</v>
      </c>
    </row>
    <row r="12" spans="1:8" ht="162" customHeight="1" x14ac:dyDescent="0.35">
      <c r="A12" s="149"/>
      <c r="B12" s="149"/>
      <c r="C12" s="123" t="s">
        <v>1047</v>
      </c>
      <c r="D12" s="124" t="s">
        <v>130</v>
      </c>
      <c r="E12" s="55" t="s">
        <v>131</v>
      </c>
      <c r="F12" s="124" t="s">
        <v>98</v>
      </c>
      <c r="G12" s="124" t="s">
        <v>1071</v>
      </c>
      <c r="H12" s="124" t="s">
        <v>98</v>
      </c>
    </row>
    <row r="13" spans="1:8" ht="26" x14ac:dyDescent="0.35">
      <c r="A13" s="149"/>
      <c r="B13" s="149"/>
      <c r="C13" s="123" t="s">
        <v>1047</v>
      </c>
      <c r="D13" s="124" t="s">
        <v>1072</v>
      </c>
      <c r="E13" s="55" t="s">
        <v>567</v>
      </c>
      <c r="F13" s="125" t="s">
        <v>98</v>
      </c>
      <c r="G13" s="124" t="s">
        <v>1073</v>
      </c>
      <c r="H13" s="124" t="s">
        <v>98</v>
      </c>
    </row>
    <row r="14" spans="1:8" ht="34.5" customHeight="1" x14ac:dyDescent="0.35">
      <c r="A14" s="149"/>
      <c r="B14" s="149"/>
      <c r="C14" s="123" t="s">
        <v>1047</v>
      </c>
      <c r="D14" s="124" t="s">
        <v>1074</v>
      </c>
      <c r="E14" s="55" t="s">
        <v>1075</v>
      </c>
      <c r="F14" s="125" t="s">
        <v>98</v>
      </c>
      <c r="G14" s="124" t="s">
        <v>1076</v>
      </c>
      <c r="H14" s="124" t="s">
        <v>98</v>
      </c>
    </row>
    <row r="15" spans="1:8" ht="26" x14ac:dyDescent="0.35">
      <c r="A15" s="149"/>
      <c r="B15" s="149"/>
      <c r="C15" s="123" t="s">
        <v>1047</v>
      </c>
      <c r="D15" s="124" t="s">
        <v>1077</v>
      </c>
      <c r="E15" s="55" t="s">
        <v>1078</v>
      </c>
      <c r="F15" s="125" t="s">
        <v>98</v>
      </c>
      <c r="G15" s="124" t="s">
        <v>1079</v>
      </c>
      <c r="H15" s="124" t="s">
        <v>98</v>
      </c>
    </row>
    <row r="16" spans="1:8" ht="62.25" customHeight="1" x14ac:dyDescent="0.35">
      <c r="A16" s="149"/>
      <c r="B16" s="149"/>
      <c r="C16" s="123" t="s">
        <v>1047</v>
      </c>
      <c r="D16" s="124" t="s">
        <v>1080</v>
      </c>
      <c r="E16" s="55" t="s">
        <v>1081</v>
      </c>
      <c r="F16" s="125" t="s">
        <v>98</v>
      </c>
      <c r="G16" s="124" t="s">
        <v>1079</v>
      </c>
      <c r="H16" s="125" t="s">
        <v>98</v>
      </c>
    </row>
    <row r="17" spans="1:8" ht="125.25" customHeight="1" x14ac:dyDescent="0.35">
      <c r="A17" s="150"/>
      <c r="B17" s="150"/>
      <c r="C17" s="123" t="s">
        <v>1047</v>
      </c>
      <c r="D17" s="124" t="s">
        <v>1082</v>
      </c>
      <c r="E17" s="55" t="s">
        <v>1083</v>
      </c>
      <c r="F17" s="125" t="s">
        <v>98</v>
      </c>
      <c r="G17" s="124" t="s">
        <v>1084</v>
      </c>
      <c r="H17" s="125" t="s">
        <v>98</v>
      </c>
    </row>
  </sheetData>
  <mergeCells count="2">
    <mergeCell ref="A2:A17"/>
    <mergeCell ref="B2:B17"/>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2B90C-F677-45AA-9D6C-2F3EF14902AC}">
  <dimension ref="A1:J84"/>
  <sheetViews>
    <sheetView topLeftCell="D63" workbookViewId="0">
      <selection activeCell="I64" sqref="I64"/>
    </sheetView>
  </sheetViews>
  <sheetFormatPr defaultRowHeight="14.5" x14ac:dyDescent="0.35"/>
  <cols>
    <col min="1" max="1" width="27.81640625" bestFit="1" customWidth="1"/>
    <col min="2" max="2" width="13.1796875" bestFit="1" customWidth="1"/>
    <col min="3" max="3" width="26.81640625" bestFit="1" customWidth="1"/>
    <col min="4" max="4" width="27.54296875" bestFit="1" customWidth="1"/>
    <col min="5" max="5" width="23.81640625" bestFit="1" customWidth="1"/>
    <col min="6" max="6" width="22.26953125" customWidth="1"/>
    <col min="7" max="7" width="19.26953125" bestFit="1" customWidth="1"/>
    <col min="8" max="8" width="45.1796875" customWidth="1"/>
    <col min="9" max="9" width="39.81640625" bestFit="1" customWidth="1"/>
    <col min="10" max="10" width="40" bestFit="1" customWidth="1"/>
  </cols>
  <sheetData>
    <row r="1" spans="1:10" x14ac:dyDescent="0.35">
      <c r="A1" s="65" t="s">
        <v>1085</v>
      </c>
      <c r="B1" s="66" t="s">
        <v>1086</v>
      </c>
      <c r="C1" s="66" t="s">
        <v>1087</v>
      </c>
      <c r="D1" s="66" t="s">
        <v>1088</v>
      </c>
      <c r="E1" s="66" t="s">
        <v>1089</v>
      </c>
      <c r="F1" s="66" t="s">
        <v>1090</v>
      </c>
      <c r="G1" s="66" t="s">
        <v>1091</v>
      </c>
      <c r="H1" s="66" t="s">
        <v>1092</v>
      </c>
      <c r="I1" s="66" t="s">
        <v>1093</v>
      </c>
      <c r="J1" s="66" t="s">
        <v>7</v>
      </c>
    </row>
    <row r="2" spans="1:10" x14ac:dyDescent="0.35">
      <c r="A2" s="67" t="s">
        <v>1094</v>
      </c>
      <c r="B2" s="68" t="s">
        <v>408</v>
      </c>
      <c r="C2" s="68" t="s">
        <v>588</v>
      </c>
      <c r="D2" s="68" t="s">
        <v>180</v>
      </c>
      <c r="E2" s="68" t="s">
        <v>180</v>
      </c>
      <c r="F2" s="68" t="s">
        <v>1095</v>
      </c>
      <c r="G2" s="68" t="s">
        <v>1096</v>
      </c>
      <c r="H2" s="68" t="s">
        <v>1097</v>
      </c>
      <c r="I2" s="68" t="s">
        <v>1095</v>
      </c>
      <c r="J2" s="33" t="s">
        <v>98</v>
      </c>
    </row>
    <row r="3" spans="1:10" x14ac:dyDescent="0.35">
      <c r="A3" s="62"/>
      <c r="B3" s="69" t="s">
        <v>408</v>
      </c>
      <c r="C3" s="68" t="s">
        <v>409</v>
      </c>
      <c r="D3" s="68" t="s">
        <v>222</v>
      </c>
      <c r="E3" s="68" t="s">
        <v>222</v>
      </c>
      <c r="F3" s="68" t="s">
        <v>1098</v>
      </c>
      <c r="G3" s="68" t="s">
        <v>1099</v>
      </c>
      <c r="H3" s="68" t="s">
        <v>1100</v>
      </c>
      <c r="I3" s="68" t="s">
        <v>1098</v>
      </c>
      <c r="J3" s="33" t="s">
        <v>98</v>
      </c>
    </row>
    <row r="4" spans="1:10" x14ac:dyDescent="0.35">
      <c r="A4" s="62"/>
      <c r="B4" s="69" t="s">
        <v>408</v>
      </c>
      <c r="C4" s="68" t="s">
        <v>409</v>
      </c>
      <c r="D4" s="68" t="s">
        <v>413</v>
      </c>
      <c r="E4" s="68" t="s">
        <v>1048</v>
      </c>
      <c r="F4" s="68" t="s">
        <v>1094</v>
      </c>
      <c r="G4" s="68" t="s">
        <v>1096</v>
      </c>
      <c r="H4" s="68" t="s">
        <v>1101</v>
      </c>
      <c r="I4" s="68" t="s">
        <v>1094</v>
      </c>
      <c r="J4" s="33" t="s">
        <v>98</v>
      </c>
    </row>
    <row r="5" spans="1:10" x14ac:dyDescent="0.35">
      <c r="A5" s="62"/>
      <c r="B5" s="70" t="s">
        <v>408</v>
      </c>
      <c r="C5" s="71" t="s">
        <v>409</v>
      </c>
      <c r="D5" s="71" t="s">
        <v>223</v>
      </c>
      <c r="E5" s="71" t="s">
        <v>223</v>
      </c>
      <c r="F5" s="71" t="s">
        <v>258</v>
      </c>
      <c r="G5" s="71" t="s">
        <v>98</v>
      </c>
      <c r="H5" s="71" t="s">
        <v>1102</v>
      </c>
      <c r="I5" s="71" t="s">
        <v>258</v>
      </c>
      <c r="J5" s="33" t="s">
        <v>475</v>
      </c>
    </row>
    <row r="6" spans="1:10" x14ac:dyDescent="0.35">
      <c r="A6" s="62"/>
      <c r="B6" s="70" t="s">
        <v>408</v>
      </c>
      <c r="C6" s="71" t="s">
        <v>409</v>
      </c>
      <c r="D6" s="71" t="s">
        <v>154</v>
      </c>
      <c r="E6" s="71" t="s">
        <v>154</v>
      </c>
      <c r="F6" s="71" t="s">
        <v>244</v>
      </c>
      <c r="G6" s="71" t="s">
        <v>98</v>
      </c>
      <c r="H6" s="71" t="s">
        <v>1102</v>
      </c>
      <c r="I6" s="71" t="s">
        <v>244</v>
      </c>
      <c r="J6" s="33" t="s">
        <v>475</v>
      </c>
    </row>
    <row r="7" spans="1:10" x14ac:dyDescent="0.35">
      <c r="A7" s="62"/>
      <c r="B7" s="69" t="s">
        <v>408</v>
      </c>
      <c r="C7" s="68" t="s">
        <v>409</v>
      </c>
      <c r="D7" s="68" t="s">
        <v>425</v>
      </c>
      <c r="E7" s="68" t="s">
        <v>425</v>
      </c>
      <c r="F7" s="68" t="s">
        <v>256</v>
      </c>
      <c r="G7" s="68" t="s">
        <v>1096</v>
      </c>
      <c r="H7" s="68" t="s">
        <v>1103</v>
      </c>
      <c r="I7" s="68" t="s">
        <v>1104</v>
      </c>
      <c r="J7" s="33" t="s">
        <v>98</v>
      </c>
    </row>
    <row r="8" spans="1:10" x14ac:dyDescent="0.35">
      <c r="A8" s="62"/>
      <c r="B8" s="69" t="s">
        <v>408</v>
      </c>
      <c r="C8" s="68" t="s">
        <v>409</v>
      </c>
      <c r="D8" s="68" t="s">
        <v>429</v>
      </c>
      <c r="E8" s="68" t="s">
        <v>429</v>
      </c>
      <c r="F8" s="68" t="s">
        <v>967</v>
      </c>
      <c r="G8" s="68" t="s">
        <v>98</v>
      </c>
      <c r="H8" s="68" t="s">
        <v>1105</v>
      </c>
      <c r="I8" s="68" t="s">
        <v>967</v>
      </c>
      <c r="J8" s="33" t="s">
        <v>98</v>
      </c>
    </row>
    <row r="9" spans="1:10" x14ac:dyDescent="0.35">
      <c r="A9" s="62"/>
      <c r="B9" s="70" t="s">
        <v>408</v>
      </c>
      <c r="C9" s="71" t="s">
        <v>409</v>
      </c>
      <c r="D9" s="71" t="s">
        <v>227</v>
      </c>
      <c r="E9" s="71" t="s">
        <v>227</v>
      </c>
      <c r="F9" s="71" t="s">
        <v>1106</v>
      </c>
      <c r="G9" s="71" t="s">
        <v>98</v>
      </c>
      <c r="H9" s="71" t="s">
        <v>98</v>
      </c>
      <c r="I9" s="71" t="s">
        <v>1106</v>
      </c>
      <c r="J9" s="33" t="s">
        <v>475</v>
      </c>
    </row>
    <row r="10" spans="1:10" x14ac:dyDescent="0.35">
      <c r="A10" s="62"/>
      <c r="B10" s="69" t="s">
        <v>408</v>
      </c>
      <c r="C10" s="72" t="s">
        <v>103</v>
      </c>
      <c r="D10" s="68" t="s">
        <v>438</v>
      </c>
      <c r="E10" s="68" t="s">
        <v>438</v>
      </c>
      <c r="F10" s="68" t="s">
        <v>219</v>
      </c>
      <c r="G10" s="68" t="s">
        <v>1107</v>
      </c>
      <c r="H10" s="68" t="s">
        <v>1108</v>
      </c>
      <c r="I10" s="68" t="s">
        <v>219</v>
      </c>
      <c r="J10" s="33" t="s">
        <v>98</v>
      </c>
    </row>
    <row r="11" spans="1:10" x14ac:dyDescent="0.35">
      <c r="A11" s="62"/>
      <c r="B11" s="69" t="s">
        <v>408</v>
      </c>
      <c r="C11" s="72" t="s">
        <v>103</v>
      </c>
      <c r="D11" s="68" t="s">
        <v>440</v>
      </c>
      <c r="E11" s="68" t="s">
        <v>440</v>
      </c>
      <c r="F11" s="68" t="s">
        <v>1109</v>
      </c>
      <c r="G11" s="68" t="s">
        <v>1110</v>
      </c>
      <c r="H11" s="68" t="s">
        <v>1100</v>
      </c>
      <c r="I11" s="68" t="s">
        <v>1109</v>
      </c>
      <c r="J11" s="33" t="s">
        <v>98</v>
      </c>
    </row>
    <row r="12" spans="1:10" x14ac:dyDescent="0.35">
      <c r="A12" s="62"/>
      <c r="B12" s="73" t="s">
        <v>408</v>
      </c>
      <c r="C12" s="74" t="s">
        <v>106</v>
      </c>
      <c r="D12" s="126" t="s">
        <v>444</v>
      </c>
      <c r="E12" s="126" t="s">
        <v>98</v>
      </c>
      <c r="G12" s="33" t="s">
        <v>98</v>
      </c>
      <c r="H12" s="127" t="s">
        <v>1111</v>
      </c>
      <c r="I12" s="128">
        <v>46058</v>
      </c>
      <c r="J12" s="33" t="s">
        <v>98</v>
      </c>
    </row>
    <row r="13" spans="1:10" x14ac:dyDescent="0.35">
      <c r="A13" s="62"/>
      <c r="B13" s="70" t="s">
        <v>408</v>
      </c>
      <c r="C13" s="71" t="s">
        <v>106</v>
      </c>
      <c r="D13" s="71" t="s">
        <v>446</v>
      </c>
      <c r="E13" s="71" t="s">
        <v>98</v>
      </c>
      <c r="F13" s="71" t="s">
        <v>98</v>
      </c>
      <c r="G13" s="71" t="s">
        <v>98</v>
      </c>
      <c r="H13" s="71" t="s">
        <v>98</v>
      </c>
      <c r="I13" s="71" t="s">
        <v>742</v>
      </c>
      <c r="J13" s="33" t="s">
        <v>475</v>
      </c>
    </row>
    <row r="14" spans="1:10" x14ac:dyDescent="0.35">
      <c r="A14" s="62"/>
      <c r="B14" s="70" t="s">
        <v>408</v>
      </c>
      <c r="C14" s="71" t="s">
        <v>106</v>
      </c>
      <c r="D14" s="71" t="s">
        <v>449</v>
      </c>
      <c r="E14" s="71" t="s">
        <v>98</v>
      </c>
      <c r="F14" s="71" t="s">
        <v>98</v>
      </c>
      <c r="G14" s="71" t="s">
        <v>98</v>
      </c>
      <c r="H14" s="71" t="s">
        <v>98</v>
      </c>
      <c r="I14" s="71" t="s">
        <v>742</v>
      </c>
      <c r="J14" s="33" t="s">
        <v>475</v>
      </c>
    </row>
    <row r="15" spans="1:10" x14ac:dyDescent="0.35">
      <c r="A15" s="62"/>
      <c r="B15" s="70" t="s">
        <v>408</v>
      </c>
      <c r="C15" s="71" t="s">
        <v>106</v>
      </c>
      <c r="D15" s="71" t="s">
        <v>450</v>
      </c>
      <c r="E15" s="71" t="s">
        <v>98</v>
      </c>
      <c r="F15" s="71" t="s">
        <v>98</v>
      </c>
      <c r="G15" s="71" t="s">
        <v>98</v>
      </c>
      <c r="H15" s="71" t="s">
        <v>98</v>
      </c>
      <c r="I15" s="71" t="s">
        <v>742</v>
      </c>
      <c r="J15" s="33" t="s">
        <v>475</v>
      </c>
    </row>
    <row r="16" spans="1:10" x14ac:dyDescent="0.35">
      <c r="A16" s="62"/>
      <c r="B16" s="73" t="s">
        <v>408</v>
      </c>
      <c r="C16" s="74" t="s">
        <v>109</v>
      </c>
      <c r="D16" s="126" t="s">
        <v>451</v>
      </c>
      <c r="E16" s="126" t="s">
        <v>451</v>
      </c>
      <c r="F16" s="126" t="s">
        <v>1112</v>
      </c>
      <c r="G16" s="33" t="s">
        <v>98</v>
      </c>
      <c r="H16" s="127" t="s">
        <v>1113</v>
      </c>
      <c r="I16" s="127" t="s">
        <v>1114</v>
      </c>
      <c r="J16" s="33" t="s">
        <v>1115</v>
      </c>
    </row>
    <row r="17" spans="1:10" x14ac:dyDescent="0.35">
      <c r="A17" s="62"/>
      <c r="B17" s="70" t="s">
        <v>408</v>
      </c>
      <c r="C17" s="71" t="s">
        <v>109</v>
      </c>
      <c r="D17" s="71" t="s">
        <v>454</v>
      </c>
      <c r="E17" s="71" t="s">
        <v>454</v>
      </c>
      <c r="F17" s="71" t="s">
        <v>1116</v>
      </c>
      <c r="G17" s="71" t="s">
        <v>98</v>
      </c>
      <c r="H17" s="71" t="s">
        <v>98</v>
      </c>
      <c r="I17" s="71" t="s">
        <v>1116</v>
      </c>
      <c r="J17" s="33" t="s">
        <v>98</v>
      </c>
    </row>
    <row r="18" spans="1:10" x14ac:dyDescent="0.35">
      <c r="A18" s="62"/>
      <c r="B18" s="69" t="s">
        <v>408</v>
      </c>
      <c r="C18" s="68" t="s">
        <v>112</v>
      </c>
      <c r="D18" s="68" t="s">
        <v>219</v>
      </c>
      <c r="E18" s="68" t="s">
        <v>219</v>
      </c>
      <c r="F18" s="68" t="s">
        <v>1109</v>
      </c>
      <c r="G18" s="68" t="s">
        <v>1110</v>
      </c>
      <c r="H18" s="68" t="s">
        <v>1100</v>
      </c>
      <c r="I18" s="68" t="s">
        <v>1109</v>
      </c>
      <c r="J18" s="33" t="s">
        <v>98</v>
      </c>
    </row>
    <row r="19" spans="1:10" x14ac:dyDescent="0.35">
      <c r="A19" s="62"/>
      <c r="B19" s="73" t="s">
        <v>408</v>
      </c>
      <c r="C19" s="74" t="s">
        <v>112</v>
      </c>
      <c r="D19" s="126" t="s">
        <v>461</v>
      </c>
      <c r="E19" s="126" t="s">
        <v>98</v>
      </c>
      <c r="F19" s="126" t="s">
        <v>98</v>
      </c>
      <c r="G19" s="33" t="s">
        <v>1117</v>
      </c>
      <c r="H19" s="33" t="s">
        <v>1118</v>
      </c>
      <c r="I19" s="75">
        <v>46091</v>
      </c>
      <c r="J19" s="33" t="s">
        <v>1119</v>
      </c>
    </row>
    <row r="20" spans="1:10" x14ac:dyDescent="0.35">
      <c r="A20" s="62"/>
      <c r="B20" s="73" t="s">
        <v>408</v>
      </c>
      <c r="C20" s="74" t="s">
        <v>112</v>
      </c>
      <c r="D20" s="126" t="s">
        <v>464</v>
      </c>
      <c r="E20" s="126" t="s">
        <v>98</v>
      </c>
      <c r="F20" s="126" t="s">
        <v>98</v>
      </c>
      <c r="G20" s="33" t="s">
        <v>1117</v>
      </c>
      <c r="H20" s="33" t="s">
        <v>1118</v>
      </c>
      <c r="I20" s="75">
        <v>46091</v>
      </c>
      <c r="J20" s="33" t="s">
        <v>1119</v>
      </c>
    </row>
    <row r="21" spans="1:10" x14ac:dyDescent="0.35">
      <c r="A21" s="62"/>
      <c r="B21" s="73" t="s">
        <v>408</v>
      </c>
      <c r="C21" s="74" t="s">
        <v>112</v>
      </c>
      <c r="D21" s="126" t="s">
        <v>466</v>
      </c>
      <c r="E21" s="126" t="s">
        <v>98</v>
      </c>
      <c r="F21" s="126" t="s">
        <v>98</v>
      </c>
      <c r="G21" s="33" t="s">
        <v>98</v>
      </c>
      <c r="H21" s="33" t="s">
        <v>98</v>
      </c>
      <c r="I21" s="33" t="s">
        <v>98</v>
      </c>
      <c r="J21" s="33" t="s">
        <v>1120</v>
      </c>
    </row>
    <row r="22" spans="1:10" x14ac:dyDescent="0.35">
      <c r="A22" s="62"/>
      <c r="B22" s="73" t="s">
        <v>408</v>
      </c>
      <c r="C22" s="74" t="s">
        <v>112</v>
      </c>
      <c r="D22" s="126" t="s">
        <v>470</v>
      </c>
      <c r="E22" s="126" t="s">
        <v>98</v>
      </c>
      <c r="F22" s="126" t="s">
        <v>98</v>
      </c>
      <c r="G22" s="33" t="s">
        <v>1121</v>
      </c>
      <c r="H22" s="33" t="s">
        <v>1122</v>
      </c>
      <c r="I22" s="126" t="s">
        <v>1123</v>
      </c>
      <c r="J22" s="33" t="s">
        <v>1119</v>
      </c>
    </row>
    <row r="23" spans="1:10" x14ac:dyDescent="0.35">
      <c r="A23" s="62"/>
      <c r="B23" s="73" t="s">
        <v>408</v>
      </c>
      <c r="C23" s="74" t="s">
        <v>112</v>
      </c>
      <c r="D23" s="126" t="s">
        <v>473</v>
      </c>
      <c r="E23" s="126" t="s">
        <v>98</v>
      </c>
      <c r="F23" s="126" t="s">
        <v>98</v>
      </c>
      <c r="G23" s="33" t="s">
        <v>98</v>
      </c>
      <c r="H23" s="33" t="s">
        <v>98</v>
      </c>
      <c r="I23" s="33" t="s">
        <v>98</v>
      </c>
      <c r="J23" s="33" t="s">
        <v>1120</v>
      </c>
    </row>
    <row r="24" spans="1:10" x14ac:dyDescent="0.35">
      <c r="A24" s="62"/>
      <c r="B24" s="70" t="s">
        <v>408</v>
      </c>
      <c r="C24" s="71" t="s">
        <v>112</v>
      </c>
      <c r="D24" s="71" t="s">
        <v>476</v>
      </c>
      <c r="E24" s="71" t="s">
        <v>98</v>
      </c>
      <c r="F24" s="71" t="s">
        <v>98</v>
      </c>
      <c r="G24" s="71" t="s">
        <v>98</v>
      </c>
      <c r="H24" s="71" t="s">
        <v>98</v>
      </c>
      <c r="I24" s="71" t="s">
        <v>253</v>
      </c>
      <c r="J24" s="33" t="s">
        <v>98</v>
      </c>
    </row>
    <row r="25" spans="1:10" x14ac:dyDescent="0.35">
      <c r="A25" s="62"/>
      <c r="B25" s="73" t="s">
        <v>408</v>
      </c>
      <c r="C25" s="74" t="s">
        <v>479</v>
      </c>
      <c r="D25" s="126" t="s">
        <v>480</v>
      </c>
      <c r="E25" s="126" t="s">
        <v>98</v>
      </c>
      <c r="F25" s="126" t="s">
        <v>98</v>
      </c>
      <c r="G25" s="33" t="s">
        <v>1124</v>
      </c>
      <c r="H25" s="126" t="s">
        <v>1125</v>
      </c>
      <c r="I25" s="33">
        <v>50992227.810000002</v>
      </c>
      <c r="J25" s="33" t="s">
        <v>1119</v>
      </c>
    </row>
    <row r="26" spans="1:10" x14ac:dyDescent="0.35">
      <c r="A26" s="62"/>
      <c r="B26" s="73" t="s">
        <v>408</v>
      </c>
      <c r="C26" s="74" t="s">
        <v>479</v>
      </c>
      <c r="D26" s="126" t="s">
        <v>127</v>
      </c>
      <c r="E26" s="126" t="s">
        <v>98</v>
      </c>
      <c r="F26" s="126" t="s">
        <v>98</v>
      </c>
      <c r="G26" s="33" t="s">
        <v>98</v>
      </c>
      <c r="H26" s="33" t="s">
        <v>98</v>
      </c>
      <c r="I26" s="33" t="s">
        <v>98</v>
      </c>
      <c r="J26" s="33" t="s">
        <v>1119</v>
      </c>
    </row>
    <row r="27" spans="1:10" x14ac:dyDescent="0.35">
      <c r="A27" s="62"/>
      <c r="B27" s="73" t="s">
        <v>408</v>
      </c>
      <c r="C27" s="74" t="s">
        <v>479</v>
      </c>
      <c r="D27" s="126" t="s">
        <v>485</v>
      </c>
      <c r="E27" s="126" t="s">
        <v>98</v>
      </c>
      <c r="F27" s="126" t="s">
        <v>98</v>
      </c>
      <c r="G27" s="33" t="s">
        <v>98</v>
      </c>
      <c r="H27" s="127" t="s">
        <v>1126</v>
      </c>
      <c r="I27" s="129" t="s">
        <v>260</v>
      </c>
      <c r="J27" s="33" t="s">
        <v>1119</v>
      </c>
    </row>
    <row r="28" spans="1:10" x14ac:dyDescent="0.35">
      <c r="A28" s="62"/>
      <c r="B28" s="73" t="s">
        <v>408</v>
      </c>
      <c r="C28" s="74" t="s">
        <v>479</v>
      </c>
      <c r="D28" s="126" t="s">
        <v>487</v>
      </c>
      <c r="E28" s="126" t="s">
        <v>98</v>
      </c>
      <c r="F28" s="126" t="s">
        <v>98</v>
      </c>
      <c r="G28" s="33" t="s">
        <v>98</v>
      </c>
      <c r="H28" s="127" t="s">
        <v>1127</v>
      </c>
      <c r="I28" s="127" t="s">
        <v>328</v>
      </c>
      <c r="J28" s="33" t="s">
        <v>1119</v>
      </c>
    </row>
    <row r="29" spans="1:10" x14ac:dyDescent="0.35">
      <c r="A29" s="62"/>
      <c r="B29" s="73" t="s">
        <v>408</v>
      </c>
      <c r="C29" s="74" t="s">
        <v>479</v>
      </c>
      <c r="D29" s="126" t="s">
        <v>489</v>
      </c>
      <c r="E29" s="126" t="s">
        <v>98</v>
      </c>
      <c r="F29" s="126" t="s">
        <v>98</v>
      </c>
      <c r="G29" s="33" t="s">
        <v>98</v>
      </c>
      <c r="H29" s="33" t="s">
        <v>98</v>
      </c>
      <c r="I29" s="33" t="s">
        <v>98</v>
      </c>
      <c r="J29" s="33" t="s">
        <v>1119</v>
      </c>
    </row>
    <row r="30" spans="1:10" x14ac:dyDescent="0.35">
      <c r="A30" s="62"/>
      <c r="B30" s="73" t="s">
        <v>408</v>
      </c>
      <c r="C30" s="74" t="s">
        <v>479</v>
      </c>
      <c r="D30" s="126" t="s">
        <v>492</v>
      </c>
      <c r="E30" s="126" t="s">
        <v>98</v>
      </c>
      <c r="F30" s="126" t="s">
        <v>98</v>
      </c>
      <c r="G30" s="33" t="s">
        <v>98</v>
      </c>
      <c r="H30" s="127" t="s">
        <v>1127</v>
      </c>
      <c r="I30" s="127" t="s">
        <v>328</v>
      </c>
      <c r="J30" s="33" t="s">
        <v>1119</v>
      </c>
    </row>
    <row r="31" spans="1:10" x14ac:dyDescent="0.35">
      <c r="A31" s="62"/>
      <c r="B31" s="73" t="s">
        <v>408</v>
      </c>
      <c r="C31" s="74" t="s">
        <v>495</v>
      </c>
      <c r="D31" s="126" t="s">
        <v>496</v>
      </c>
      <c r="E31" s="126" t="s">
        <v>98</v>
      </c>
      <c r="F31" s="126" t="s">
        <v>98</v>
      </c>
      <c r="G31" s="33" t="s">
        <v>1124</v>
      </c>
      <c r="H31" s="126" t="s">
        <v>1125</v>
      </c>
      <c r="I31" s="33">
        <v>50992227.810000002</v>
      </c>
      <c r="J31" s="33" t="s">
        <v>1119</v>
      </c>
    </row>
    <row r="32" spans="1:10" x14ac:dyDescent="0.35">
      <c r="A32" s="62"/>
      <c r="B32" s="73" t="s">
        <v>408</v>
      </c>
      <c r="C32" s="74" t="s">
        <v>495</v>
      </c>
      <c r="D32" s="126" t="s">
        <v>498</v>
      </c>
      <c r="E32" s="126" t="s">
        <v>98</v>
      </c>
      <c r="F32" s="126" t="s">
        <v>98</v>
      </c>
      <c r="G32" s="33" t="s">
        <v>98</v>
      </c>
      <c r="H32" s="33" t="s">
        <v>98</v>
      </c>
      <c r="I32" s="33" t="s">
        <v>98</v>
      </c>
      <c r="J32" s="33" t="s">
        <v>1119</v>
      </c>
    </row>
    <row r="33" spans="1:10" x14ac:dyDescent="0.35">
      <c r="A33" s="62"/>
      <c r="B33" s="73" t="s">
        <v>408</v>
      </c>
      <c r="C33" s="74" t="s">
        <v>495</v>
      </c>
      <c r="D33" s="126" t="s">
        <v>500</v>
      </c>
      <c r="E33" s="126" t="s">
        <v>98</v>
      </c>
      <c r="F33" s="126" t="s">
        <v>98</v>
      </c>
      <c r="G33" s="33" t="s">
        <v>98</v>
      </c>
      <c r="H33" s="33" t="s">
        <v>98</v>
      </c>
      <c r="I33" s="33" t="s">
        <v>98</v>
      </c>
      <c r="J33" s="33" t="s">
        <v>1119</v>
      </c>
    </row>
    <row r="34" spans="1:10" x14ac:dyDescent="0.35">
      <c r="A34" s="62"/>
      <c r="B34" s="73" t="s">
        <v>408</v>
      </c>
      <c r="C34" s="74" t="s">
        <v>495</v>
      </c>
      <c r="D34" s="126" t="s">
        <v>504</v>
      </c>
      <c r="E34" s="126" t="s">
        <v>98</v>
      </c>
      <c r="F34" s="126" t="s">
        <v>98</v>
      </c>
      <c r="G34" s="33" t="s">
        <v>98</v>
      </c>
      <c r="H34" s="127" t="s">
        <v>1128</v>
      </c>
      <c r="I34" s="127" t="s">
        <v>1129</v>
      </c>
      <c r="J34" s="33" t="s">
        <v>1119</v>
      </c>
    </row>
    <row r="35" spans="1:10" x14ac:dyDescent="0.35">
      <c r="A35" s="62"/>
      <c r="B35" s="73" t="s">
        <v>408</v>
      </c>
      <c r="C35" s="74" t="s">
        <v>495</v>
      </c>
      <c r="D35" s="126" t="s">
        <v>507</v>
      </c>
      <c r="E35" s="126" t="s">
        <v>98</v>
      </c>
      <c r="F35" s="126" t="s">
        <v>98</v>
      </c>
      <c r="G35" s="33" t="s">
        <v>98</v>
      </c>
      <c r="H35" s="127" t="s">
        <v>1130</v>
      </c>
      <c r="I35" s="130" t="s">
        <v>296</v>
      </c>
      <c r="J35" s="33" t="s">
        <v>1119</v>
      </c>
    </row>
    <row r="36" spans="1:10" x14ac:dyDescent="0.35">
      <c r="A36" s="62"/>
      <c r="B36" s="73" t="s">
        <v>408</v>
      </c>
      <c r="C36" s="74" t="s">
        <v>118</v>
      </c>
      <c r="D36" s="126" t="s">
        <v>509</v>
      </c>
      <c r="E36" s="126" t="s">
        <v>234</v>
      </c>
      <c r="F36" s="126">
        <v>36</v>
      </c>
      <c r="G36" s="33" t="s">
        <v>1124</v>
      </c>
      <c r="H36" s="127" t="s">
        <v>1131</v>
      </c>
      <c r="I36" s="127">
        <v>36</v>
      </c>
      <c r="J36" s="33" t="s">
        <v>98</v>
      </c>
    </row>
    <row r="37" spans="1:10" x14ac:dyDescent="0.35">
      <c r="A37" s="62"/>
      <c r="B37" s="69" t="s">
        <v>408</v>
      </c>
      <c r="C37" s="68" t="s">
        <v>118</v>
      </c>
      <c r="D37" s="68" t="s">
        <v>512</v>
      </c>
      <c r="E37" s="68" t="s">
        <v>512</v>
      </c>
      <c r="F37" s="68" t="s">
        <v>41</v>
      </c>
      <c r="G37" s="68" t="s">
        <v>1124</v>
      </c>
      <c r="H37" s="68" t="s">
        <v>1132</v>
      </c>
      <c r="I37" s="68" t="s">
        <v>41</v>
      </c>
      <c r="J37" s="33" t="s">
        <v>98</v>
      </c>
    </row>
    <row r="38" spans="1:10" x14ac:dyDescent="0.35">
      <c r="A38" s="62"/>
      <c r="B38" s="70" t="s">
        <v>408</v>
      </c>
      <c r="C38" s="71" t="s">
        <v>118</v>
      </c>
      <c r="D38" s="71" t="s">
        <v>515</v>
      </c>
      <c r="E38" s="71" t="s">
        <v>98</v>
      </c>
      <c r="F38" s="71" t="s">
        <v>98</v>
      </c>
      <c r="G38" s="71" t="s">
        <v>98</v>
      </c>
      <c r="H38" s="71" t="s">
        <v>98</v>
      </c>
      <c r="I38" s="71" t="s">
        <v>516</v>
      </c>
      <c r="J38" s="33" t="s">
        <v>98</v>
      </c>
    </row>
    <row r="39" spans="1:10" x14ac:dyDescent="0.35">
      <c r="A39" s="62"/>
      <c r="B39" s="69" t="s">
        <v>408</v>
      </c>
      <c r="C39" s="68" t="s">
        <v>118</v>
      </c>
      <c r="D39" s="68" t="s">
        <v>252</v>
      </c>
      <c r="E39" s="68" t="s">
        <v>252</v>
      </c>
      <c r="F39" s="68" t="b">
        <v>1</v>
      </c>
      <c r="G39" s="68" t="s">
        <v>1124</v>
      </c>
      <c r="H39" s="68" t="s">
        <v>1133</v>
      </c>
      <c r="I39" s="68" t="s">
        <v>252</v>
      </c>
      <c r="J39" s="33" t="s">
        <v>98</v>
      </c>
    </row>
    <row r="40" spans="1:10" x14ac:dyDescent="0.35">
      <c r="A40" s="62"/>
      <c r="B40" s="70" t="s">
        <v>408</v>
      </c>
      <c r="C40" s="71" t="s">
        <v>118</v>
      </c>
      <c r="D40" s="71" t="s">
        <v>519</v>
      </c>
      <c r="E40" s="71" t="s">
        <v>1134</v>
      </c>
      <c r="F40" s="71">
        <v>1</v>
      </c>
      <c r="G40" s="71" t="s">
        <v>98</v>
      </c>
      <c r="H40" s="71" t="s">
        <v>98</v>
      </c>
      <c r="I40" s="71">
        <v>1</v>
      </c>
      <c r="J40" s="33" t="s">
        <v>520</v>
      </c>
    </row>
    <row r="41" spans="1:10" x14ac:dyDescent="0.35">
      <c r="A41" s="62"/>
      <c r="B41" s="69" t="s">
        <v>408</v>
      </c>
      <c r="C41" s="68" t="s">
        <v>118</v>
      </c>
      <c r="D41" s="68" t="s">
        <v>521</v>
      </c>
      <c r="E41" s="68" t="s">
        <v>521</v>
      </c>
      <c r="F41" s="76">
        <v>46144</v>
      </c>
      <c r="G41" s="68" t="s">
        <v>1124</v>
      </c>
      <c r="H41" s="68" t="s">
        <v>1135</v>
      </c>
      <c r="I41" s="76">
        <v>46144</v>
      </c>
      <c r="J41" s="33" t="s">
        <v>98</v>
      </c>
    </row>
    <row r="42" spans="1:10" x14ac:dyDescent="0.35">
      <c r="A42" s="62"/>
      <c r="B42" s="70" t="s">
        <v>408</v>
      </c>
      <c r="C42" s="71" t="s">
        <v>118</v>
      </c>
      <c r="D42" s="71" t="s">
        <v>523</v>
      </c>
      <c r="E42" s="71" t="s">
        <v>523</v>
      </c>
      <c r="F42" s="77">
        <v>46145</v>
      </c>
      <c r="G42" s="71" t="s">
        <v>98</v>
      </c>
      <c r="H42" s="71" t="s">
        <v>98</v>
      </c>
      <c r="I42" s="71" t="s">
        <v>98</v>
      </c>
      <c r="J42" s="71" t="s">
        <v>1136</v>
      </c>
    </row>
    <row r="43" spans="1:10" x14ac:dyDescent="0.35">
      <c r="A43" s="62"/>
      <c r="B43" s="70" t="s">
        <v>408</v>
      </c>
      <c r="C43" s="71" t="s">
        <v>118</v>
      </c>
      <c r="D43" s="71" t="s">
        <v>524</v>
      </c>
      <c r="E43" s="71" t="s">
        <v>524</v>
      </c>
      <c r="F43" s="77">
        <v>47210</v>
      </c>
      <c r="G43" s="71" t="s">
        <v>98</v>
      </c>
      <c r="H43" s="71" t="s">
        <v>98</v>
      </c>
      <c r="I43" s="71" t="s">
        <v>98</v>
      </c>
      <c r="J43" s="71" t="s">
        <v>1137</v>
      </c>
    </row>
    <row r="44" spans="1:10" x14ac:dyDescent="0.35">
      <c r="A44" s="62"/>
      <c r="B44" s="69" t="s">
        <v>408</v>
      </c>
      <c r="C44" s="68" t="s">
        <v>118</v>
      </c>
      <c r="D44" s="68" t="s">
        <v>526</v>
      </c>
      <c r="E44" s="68" t="s">
        <v>526</v>
      </c>
      <c r="F44" s="68">
        <v>36</v>
      </c>
      <c r="G44" s="68" t="s">
        <v>1124</v>
      </c>
      <c r="H44" s="68" t="s">
        <v>1138</v>
      </c>
      <c r="I44" s="68">
        <v>36</v>
      </c>
      <c r="J44" s="68" t="s">
        <v>1139</v>
      </c>
    </row>
    <row r="45" spans="1:10" x14ac:dyDescent="0.35">
      <c r="A45" s="62"/>
      <c r="B45" s="69" t="s">
        <v>408</v>
      </c>
      <c r="C45" s="68" t="s">
        <v>118</v>
      </c>
      <c r="D45" s="68" t="s">
        <v>528</v>
      </c>
      <c r="E45" s="68" t="s">
        <v>528</v>
      </c>
      <c r="F45" s="68">
        <v>36</v>
      </c>
      <c r="G45" s="68" t="s">
        <v>1124</v>
      </c>
      <c r="H45" s="68" t="s">
        <v>1138</v>
      </c>
      <c r="I45" s="68">
        <v>36</v>
      </c>
      <c r="J45" s="68" t="s">
        <v>1139</v>
      </c>
    </row>
    <row r="46" spans="1:10" x14ac:dyDescent="0.35">
      <c r="A46" s="62"/>
      <c r="B46" s="69" t="s">
        <v>408</v>
      </c>
      <c r="C46" s="68" t="s">
        <v>118</v>
      </c>
      <c r="D46" s="68" t="s">
        <v>529</v>
      </c>
      <c r="E46" s="68" t="s">
        <v>529</v>
      </c>
      <c r="F46" s="78">
        <v>1408824.62</v>
      </c>
      <c r="G46" s="68" t="s">
        <v>1140</v>
      </c>
      <c r="H46" s="68" t="s">
        <v>1141</v>
      </c>
      <c r="I46" s="68">
        <v>1408824.62</v>
      </c>
      <c r="J46" s="68" t="s">
        <v>1142</v>
      </c>
    </row>
    <row r="47" spans="1:10" x14ac:dyDescent="0.35">
      <c r="A47" s="62"/>
      <c r="B47" s="62" t="s">
        <v>408</v>
      </c>
      <c r="C47" s="62" t="s">
        <v>118</v>
      </c>
      <c r="D47" s="62" t="s">
        <v>531</v>
      </c>
      <c r="E47" s="79" t="s">
        <v>98</v>
      </c>
      <c r="F47" s="33" t="s">
        <v>98</v>
      </c>
      <c r="G47" s="33" t="s">
        <v>98</v>
      </c>
      <c r="H47" s="33" t="s">
        <v>98</v>
      </c>
      <c r="I47" s="33" t="s">
        <v>98</v>
      </c>
      <c r="J47" s="33" t="s">
        <v>98</v>
      </c>
    </row>
    <row r="48" spans="1:10" x14ac:dyDescent="0.35">
      <c r="A48" s="62"/>
      <c r="B48" s="80" t="s">
        <v>408</v>
      </c>
      <c r="C48" s="81" t="s">
        <v>118</v>
      </c>
      <c r="D48" s="81" t="s">
        <v>232</v>
      </c>
      <c r="E48" s="68" t="s">
        <v>232</v>
      </c>
      <c r="F48" s="68">
        <v>5099222.78</v>
      </c>
      <c r="G48" s="68" t="s">
        <v>1124</v>
      </c>
      <c r="H48" s="68" t="s">
        <v>1143</v>
      </c>
      <c r="I48" s="68">
        <v>5099222.78</v>
      </c>
      <c r="J48" s="68" t="s">
        <v>98</v>
      </c>
    </row>
    <row r="49" spans="1:10" x14ac:dyDescent="0.35">
      <c r="A49" s="62"/>
      <c r="B49" s="73" t="s">
        <v>408</v>
      </c>
      <c r="C49" s="74" t="s">
        <v>118</v>
      </c>
      <c r="D49" s="74" t="s">
        <v>535</v>
      </c>
      <c r="E49" s="74" t="s">
        <v>98</v>
      </c>
      <c r="F49" s="74" t="s">
        <v>98</v>
      </c>
      <c r="G49" s="33" t="s">
        <v>98</v>
      </c>
      <c r="H49" s="33" t="s">
        <v>98</v>
      </c>
      <c r="I49" s="33" t="s">
        <v>98</v>
      </c>
      <c r="J49" s="33" t="s">
        <v>98</v>
      </c>
    </row>
    <row r="50" spans="1:10" x14ac:dyDescent="0.35">
      <c r="A50" s="62"/>
      <c r="B50" s="69" t="s">
        <v>408</v>
      </c>
      <c r="C50" s="68" t="s">
        <v>118</v>
      </c>
      <c r="D50" s="68" t="s">
        <v>537</v>
      </c>
      <c r="E50" s="68" t="s">
        <v>537</v>
      </c>
      <c r="F50" s="68" t="b">
        <v>0</v>
      </c>
      <c r="G50" s="68" t="s">
        <v>1124</v>
      </c>
      <c r="H50" s="68" t="s">
        <v>1144</v>
      </c>
      <c r="I50" s="68" t="s">
        <v>1145</v>
      </c>
      <c r="J50" s="33" t="s">
        <v>98</v>
      </c>
    </row>
    <row r="51" spans="1:10" x14ac:dyDescent="0.35">
      <c r="A51" s="62"/>
      <c r="B51" s="73" t="s">
        <v>408</v>
      </c>
      <c r="C51" s="74" t="s">
        <v>118</v>
      </c>
      <c r="D51" s="74" t="s">
        <v>540</v>
      </c>
      <c r="E51" s="74" t="s">
        <v>98</v>
      </c>
      <c r="F51" s="74" t="s">
        <v>98</v>
      </c>
      <c r="G51" s="33" t="s">
        <v>98</v>
      </c>
      <c r="H51" s="33" t="s">
        <v>98</v>
      </c>
      <c r="I51" s="33" t="s">
        <v>98</v>
      </c>
      <c r="J51" s="33" t="s">
        <v>1120</v>
      </c>
    </row>
    <row r="52" spans="1:10" x14ac:dyDescent="0.35">
      <c r="A52" s="62"/>
      <c r="B52" s="73" t="s">
        <v>408</v>
      </c>
      <c r="C52" s="74" t="s">
        <v>542</v>
      </c>
      <c r="D52" s="74" t="s">
        <v>543</v>
      </c>
      <c r="E52" s="74" t="s">
        <v>98</v>
      </c>
      <c r="F52" s="74" t="s">
        <v>98</v>
      </c>
      <c r="G52" s="33" t="s">
        <v>98</v>
      </c>
      <c r="H52" s="127" t="s">
        <v>1111</v>
      </c>
      <c r="I52" s="131">
        <v>46058</v>
      </c>
      <c r="J52" s="33" t="s">
        <v>1120</v>
      </c>
    </row>
    <row r="53" spans="1:10" x14ac:dyDescent="0.35">
      <c r="A53" s="62"/>
      <c r="B53" s="73" t="s">
        <v>408</v>
      </c>
      <c r="C53" s="74" t="s">
        <v>542</v>
      </c>
      <c r="D53" s="74" t="s">
        <v>544</v>
      </c>
      <c r="E53" s="74" t="s">
        <v>98</v>
      </c>
      <c r="F53" s="74" t="s">
        <v>98</v>
      </c>
      <c r="G53" s="33" t="s">
        <v>98</v>
      </c>
      <c r="H53" s="127" t="s">
        <v>1146</v>
      </c>
      <c r="I53" s="127" t="s">
        <v>1145</v>
      </c>
      <c r="J53" s="33" t="s">
        <v>1120</v>
      </c>
    </row>
    <row r="54" spans="1:10" x14ac:dyDescent="0.35">
      <c r="A54" s="62"/>
      <c r="B54" s="73" t="s">
        <v>408</v>
      </c>
      <c r="C54" s="74" t="s">
        <v>542</v>
      </c>
      <c r="D54" s="74" t="s">
        <v>545</v>
      </c>
      <c r="E54" s="74" t="s">
        <v>98</v>
      </c>
      <c r="F54" s="74" t="s">
        <v>98</v>
      </c>
      <c r="G54" s="33" t="s">
        <v>98</v>
      </c>
      <c r="H54" s="33" t="s">
        <v>98</v>
      </c>
      <c r="I54" s="33" t="s">
        <v>98</v>
      </c>
      <c r="J54" s="33" t="s">
        <v>1120</v>
      </c>
    </row>
    <row r="55" spans="1:10" x14ac:dyDescent="0.35">
      <c r="A55" s="62"/>
      <c r="B55" s="73" t="s">
        <v>408</v>
      </c>
      <c r="C55" s="74" t="s">
        <v>542</v>
      </c>
      <c r="D55" s="74" t="s">
        <v>547</v>
      </c>
      <c r="E55" s="74" t="s">
        <v>98</v>
      </c>
      <c r="F55" s="74" t="s">
        <v>98</v>
      </c>
      <c r="G55" s="33" t="s">
        <v>98</v>
      </c>
      <c r="H55" s="33" t="s">
        <v>98</v>
      </c>
      <c r="I55" s="33" t="s">
        <v>98</v>
      </c>
      <c r="J55" s="33" t="s">
        <v>1120</v>
      </c>
    </row>
    <row r="56" spans="1:10" x14ac:dyDescent="0.35">
      <c r="A56" s="62"/>
      <c r="B56" s="73" t="s">
        <v>408</v>
      </c>
      <c r="C56" s="74" t="s">
        <v>542</v>
      </c>
      <c r="D56" s="74" t="s">
        <v>549</v>
      </c>
      <c r="E56" s="74" t="s">
        <v>98</v>
      </c>
      <c r="F56" s="74" t="s">
        <v>98</v>
      </c>
      <c r="G56" s="33" t="s">
        <v>98</v>
      </c>
      <c r="H56" s="33" t="s">
        <v>98</v>
      </c>
      <c r="I56" s="33" t="s">
        <v>98</v>
      </c>
      <c r="J56" s="33" t="s">
        <v>1120</v>
      </c>
    </row>
    <row r="57" spans="1:10" x14ac:dyDescent="0.35">
      <c r="A57" s="62"/>
      <c r="B57" s="73" t="s">
        <v>408</v>
      </c>
      <c r="C57" s="74" t="s">
        <v>542</v>
      </c>
      <c r="D57" s="74" t="s">
        <v>551</v>
      </c>
      <c r="E57" s="74" t="s">
        <v>98</v>
      </c>
      <c r="F57" s="74" t="s">
        <v>98</v>
      </c>
      <c r="G57" s="33" t="s">
        <v>98</v>
      </c>
      <c r="H57" s="33" t="s">
        <v>1147</v>
      </c>
      <c r="I57" s="132">
        <v>7</v>
      </c>
      <c r="J57" s="33" t="s">
        <v>1148</v>
      </c>
    </row>
    <row r="58" spans="1:10" x14ac:dyDescent="0.35">
      <c r="A58" s="62"/>
      <c r="B58" s="73" t="s">
        <v>408</v>
      </c>
      <c r="C58" s="74" t="s">
        <v>542</v>
      </c>
      <c r="D58" s="74" t="s">
        <v>553</v>
      </c>
      <c r="E58" s="74" t="s">
        <v>98</v>
      </c>
      <c r="F58" s="74" t="s">
        <v>98</v>
      </c>
      <c r="G58" s="33" t="s">
        <v>98</v>
      </c>
      <c r="H58" s="33" t="s">
        <v>98</v>
      </c>
      <c r="I58" s="33" t="s">
        <v>98</v>
      </c>
      <c r="J58" s="33" t="s">
        <v>1120</v>
      </c>
    </row>
    <row r="59" spans="1:10" x14ac:dyDescent="0.35">
      <c r="A59" s="62"/>
      <c r="B59" s="73" t="s">
        <v>408</v>
      </c>
      <c r="C59" s="74" t="s">
        <v>542</v>
      </c>
      <c r="D59" s="74" t="s">
        <v>555</v>
      </c>
      <c r="E59" s="74" t="s">
        <v>98</v>
      </c>
      <c r="F59" s="74" t="s">
        <v>98</v>
      </c>
      <c r="G59" s="33" t="s">
        <v>98</v>
      </c>
      <c r="H59" s="33" t="s">
        <v>98</v>
      </c>
      <c r="I59" s="33" t="s">
        <v>98</v>
      </c>
      <c r="J59" s="33" t="s">
        <v>1120</v>
      </c>
    </row>
    <row r="60" spans="1:10" x14ac:dyDescent="0.35">
      <c r="A60" s="62"/>
      <c r="B60" s="73" t="s">
        <v>408</v>
      </c>
      <c r="C60" s="74" t="s">
        <v>542</v>
      </c>
      <c r="D60" s="74" t="s">
        <v>556</v>
      </c>
      <c r="E60" s="74" t="s">
        <v>98</v>
      </c>
      <c r="F60" s="74" t="s">
        <v>98</v>
      </c>
      <c r="G60" s="33" t="s">
        <v>98</v>
      </c>
      <c r="H60" s="33" t="s">
        <v>98</v>
      </c>
      <c r="I60" s="33" t="s">
        <v>98</v>
      </c>
      <c r="J60" s="33" t="s">
        <v>1120</v>
      </c>
    </row>
    <row r="61" spans="1:10" x14ac:dyDescent="0.35">
      <c r="A61" s="62"/>
      <c r="B61" s="73" t="s">
        <v>408</v>
      </c>
      <c r="C61" s="74" t="s">
        <v>558</v>
      </c>
      <c r="D61" s="74" t="s">
        <v>559</v>
      </c>
      <c r="E61" s="74" t="s">
        <v>98</v>
      </c>
      <c r="F61" s="74" t="s">
        <v>98</v>
      </c>
      <c r="G61" s="33" t="s">
        <v>98</v>
      </c>
      <c r="H61" s="33" t="s">
        <v>98</v>
      </c>
      <c r="I61" s="33" t="s">
        <v>98</v>
      </c>
      <c r="J61" s="33" t="s">
        <v>1119</v>
      </c>
    </row>
    <row r="62" spans="1:10" x14ac:dyDescent="0.35">
      <c r="A62" s="62"/>
      <c r="B62" s="73"/>
      <c r="C62" s="74" t="s">
        <v>558</v>
      </c>
      <c r="D62" s="74" t="s">
        <v>1149</v>
      </c>
      <c r="E62" s="74"/>
      <c r="F62" s="74"/>
      <c r="G62" s="33"/>
      <c r="H62" s="127" t="s">
        <v>1150</v>
      </c>
      <c r="I62" s="127">
        <v>1408824.62</v>
      </c>
      <c r="J62" s="33"/>
    </row>
    <row r="63" spans="1:10" x14ac:dyDescent="0.35">
      <c r="A63" s="62"/>
      <c r="B63" s="73"/>
      <c r="C63" s="74" t="s">
        <v>558</v>
      </c>
      <c r="D63" s="74" t="s">
        <v>1151</v>
      </c>
      <c r="E63" s="74"/>
      <c r="F63" s="74"/>
      <c r="G63" s="33"/>
      <c r="H63" s="127" t="s">
        <v>1152</v>
      </c>
      <c r="I63" s="133">
        <v>0</v>
      </c>
      <c r="J63" s="33"/>
    </row>
    <row r="64" spans="1:10" x14ac:dyDescent="0.35">
      <c r="A64" s="62"/>
      <c r="B64" s="73"/>
      <c r="C64" s="74" t="s">
        <v>558</v>
      </c>
      <c r="D64" s="74" t="s">
        <v>1153</v>
      </c>
      <c r="E64" s="74"/>
      <c r="F64" s="74"/>
      <c r="G64" s="33"/>
      <c r="H64" s="127" t="s">
        <v>1154</v>
      </c>
      <c r="I64" s="131">
        <v>46058</v>
      </c>
      <c r="J64" s="33"/>
    </row>
    <row r="65" spans="1:10" x14ac:dyDescent="0.35">
      <c r="A65" s="62"/>
      <c r="B65" s="73"/>
      <c r="C65" s="74" t="s">
        <v>558</v>
      </c>
      <c r="D65" s="74" t="s">
        <v>1155</v>
      </c>
      <c r="E65" s="74"/>
      <c r="F65" s="74"/>
      <c r="G65" s="33"/>
      <c r="H65" s="33" t="s">
        <v>1156</v>
      </c>
      <c r="I65" s="33">
        <v>1591971.82</v>
      </c>
      <c r="J65" s="33" t="s">
        <v>1157</v>
      </c>
    </row>
    <row r="66" spans="1:10" x14ac:dyDescent="0.35">
      <c r="A66" s="62"/>
      <c r="B66" s="73"/>
      <c r="C66" s="74" t="s">
        <v>558</v>
      </c>
      <c r="D66" s="74" t="s">
        <v>1158</v>
      </c>
      <c r="E66" s="74"/>
      <c r="F66" s="74"/>
      <c r="G66" s="33"/>
      <c r="H66" s="33" t="s">
        <v>1159</v>
      </c>
      <c r="I66" s="33">
        <v>44484180.420000002</v>
      </c>
      <c r="J66" s="33" t="s">
        <v>1160</v>
      </c>
    </row>
    <row r="67" spans="1:10" x14ac:dyDescent="0.35">
      <c r="A67" s="62"/>
      <c r="B67" s="73" t="s">
        <v>408</v>
      </c>
      <c r="C67" s="74" t="s">
        <v>127</v>
      </c>
      <c r="D67" s="74" t="s">
        <v>485</v>
      </c>
      <c r="E67" s="74" t="s">
        <v>98</v>
      </c>
      <c r="F67" s="74" t="s">
        <v>98</v>
      </c>
      <c r="G67" s="33" t="s">
        <v>98</v>
      </c>
      <c r="H67" s="33" t="s">
        <v>98</v>
      </c>
      <c r="I67" s="33" t="s">
        <v>98</v>
      </c>
      <c r="J67" s="33" t="s">
        <v>1120</v>
      </c>
    </row>
    <row r="68" spans="1:10" x14ac:dyDescent="0.35">
      <c r="A68" s="62"/>
      <c r="B68" s="73" t="s">
        <v>408</v>
      </c>
      <c r="C68" s="74" t="s">
        <v>127</v>
      </c>
      <c r="D68" s="74" t="s">
        <v>562</v>
      </c>
      <c r="E68" s="74" t="s">
        <v>98</v>
      </c>
      <c r="F68" s="74" t="s">
        <v>98</v>
      </c>
      <c r="G68" s="33" t="s">
        <v>98</v>
      </c>
      <c r="H68" s="33" t="s">
        <v>98</v>
      </c>
      <c r="I68" s="33" t="s">
        <v>98</v>
      </c>
      <c r="J68" s="33" t="s">
        <v>1120</v>
      </c>
    </row>
    <row r="69" spans="1:10" x14ac:dyDescent="0.35">
      <c r="A69" s="62"/>
      <c r="B69" s="73" t="s">
        <v>408</v>
      </c>
      <c r="C69" s="74" t="s">
        <v>564</v>
      </c>
      <c r="D69" s="74" t="s">
        <v>565</v>
      </c>
      <c r="E69" s="74" t="s">
        <v>98</v>
      </c>
      <c r="F69" s="74" t="s">
        <v>98</v>
      </c>
      <c r="G69" s="33" t="s">
        <v>98</v>
      </c>
      <c r="H69" s="33" t="s">
        <v>98</v>
      </c>
      <c r="I69" s="33" t="s">
        <v>98</v>
      </c>
      <c r="J69" s="33" t="s">
        <v>1120</v>
      </c>
    </row>
    <row r="70" spans="1:10" x14ac:dyDescent="0.35">
      <c r="A70" s="62"/>
      <c r="B70" s="70" t="s">
        <v>408</v>
      </c>
      <c r="C70" s="71" t="s">
        <v>566</v>
      </c>
      <c r="D70" s="71" t="s">
        <v>567</v>
      </c>
      <c r="E70" s="71" t="s">
        <v>98</v>
      </c>
      <c r="F70" s="71" t="s">
        <v>98</v>
      </c>
      <c r="G70" s="71" t="s">
        <v>98</v>
      </c>
      <c r="H70" s="71" t="s">
        <v>98</v>
      </c>
      <c r="I70" s="71" t="b">
        <v>0</v>
      </c>
      <c r="J70" s="33" t="s">
        <v>98</v>
      </c>
    </row>
    <row r="71" spans="1:10" x14ac:dyDescent="0.35">
      <c r="A71" s="62"/>
      <c r="B71" s="70" t="s">
        <v>408</v>
      </c>
      <c r="C71" s="71" t="s">
        <v>569</v>
      </c>
      <c r="D71" s="71" t="s">
        <v>570</v>
      </c>
      <c r="E71" s="71" t="s">
        <v>98</v>
      </c>
      <c r="F71" s="71" t="s">
        <v>98</v>
      </c>
      <c r="G71" s="71" t="s">
        <v>98</v>
      </c>
      <c r="H71" s="71" t="s">
        <v>98</v>
      </c>
      <c r="I71" s="71" t="b">
        <v>0</v>
      </c>
      <c r="J71" s="33" t="s">
        <v>98</v>
      </c>
    </row>
    <row r="72" spans="1:10" x14ac:dyDescent="0.35">
      <c r="A72" s="62"/>
      <c r="B72" s="73" t="s">
        <v>408</v>
      </c>
      <c r="C72" s="74" t="s">
        <v>138</v>
      </c>
      <c r="D72" s="74" t="s">
        <v>573</v>
      </c>
      <c r="E72" s="74" t="s">
        <v>98</v>
      </c>
      <c r="F72" s="74" t="s">
        <v>98</v>
      </c>
      <c r="G72" s="33" t="s">
        <v>98</v>
      </c>
      <c r="H72" s="33" t="s">
        <v>98</v>
      </c>
      <c r="I72" s="33" t="s">
        <v>98</v>
      </c>
      <c r="J72" s="33" t="s">
        <v>1120</v>
      </c>
    </row>
    <row r="73" spans="1:10" x14ac:dyDescent="0.35">
      <c r="A73" s="62"/>
      <c r="B73" s="73" t="s">
        <v>408</v>
      </c>
      <c r="C73" s="74" t="s">
        <v>138</v>
      </c>
      <c r="D73" s="74" t="s">
        <v>575</v>
      </c>
      <c r="E73" s="74" t="s">
        <v>98</v>
      </c>
      <c r="F73" s="74" t="s">
        <v>98</v>
      </c>
      <c r="G73" s="33" t="s">
        <v>98</v>
      </c>
      <c r="H73" s="33" t="s">
        <v>98</v>
      </c>
      <c r="I73" s="33" t="s">
        <v>98</v>
      </c>
      <c r="J73" s="33" t="s">
        <v>1120</v>
      </c>
    </row>
    <row r="74" spans="1:10" x14ac:dyDescent="0.35">
      <c r="A74" s="62"/>
      <c r="B74" s="73" t="s">
        <v>408</v>
      </c>
      <c r="C74" s="74" t="s">
        <v>138</v>
      </c>
      <c r="D74" s="74" t="s">
        <v>576</v>
      </c>
      <c r="E74" s="74" t="s">
        <v>98</v>
      </c>
      <c r="F74" s="74" t="s">
        <v>98</v>
      </c>
      <c r="G74" s="33" t="s">
        <v>98</v>
      </c>
      <c r="H74" s="33" t="s">
        <v>98</v>
      </c>
      <c r="I74" s="33" t="s">
        <v>98</v>
      </c>
      <c r="J74" s="33" t="s">
        <v>1120</v>
      </c>
    </row>
    <row r="75" spans="1:10" x14ac:dyDescent="0.35">
      <c r="A75" s="62"/>
      <c r="B75" s="73" t="s">
        <v>408</v>
      </c>
      <c r="C75" s="74" t="s">
        <v>138</v>
      </c>
      <c r="D75" s="74" t="s">
        <v>577</v>
      </c>
      <c r="E75" s="74" t="s">
        <v>98</v>
      </c>
      <c r="F75" s="74" t="s">
        <v>98</v>
      </c>
      <c r="G75" s="33" t="s">
        <v>98</v>
      </c>
      <c r="H75" s="33" t="s">
        <v>98</v>
      </c>
      <c r="I75" s="33" t="s">
        <v>98</v>
      </c>
      <c r="J75" s="33" t="s">
        <v>1120</v>
      </c>
    </row>
    <row r="76" spans="1:10" x14ac:dyDescent="0.35">
      <c r="A76" s="62"/>
      <c r="B76" s="73" t="s">
        <v>408</v>
      </c>
      <c r="C76" s="74" t="s">
        <v>578</v>
      </c>
      <c r="D76" s="74" t="s">
        <v>142</v>
      </c>
      <c r="E76" s="74" t="s">
        <v>98</v>
      </c>
      <c r="F76" s="74" t="s">
        <v>98</v>
      </c>
      <c r="G76" s="33" t="s">
        <v>98</v>
      </c>
      <c r="H76" s="33" t="s">
        <v>98</v>
      </c>
      <c r="I76" s="33" t="s">
        <v>98</v>
      </c>
      <c r="J76" s="33" t="s">
        <v>1120</v>
      </c>
    </row>
    <row r="77" spans="1:10" x14ac:dyDescent="0.35">
      <c r="A77" s="62"/>
      <c r="B77" s="73" t="s">
        <v>408</v>
      </c>
      <c r="C77" s="74" t="s">
        <v>144</v>
      </c>
      <c r="D77" s="74" t="s">
        <v>142</v>
      </c>
      <c r="E77" s="74" t="s">
        <v>98</v>
      </c>
      <c r="F77" s="74" t="s">
        <v>98</v>
      </c>
      <c r="G77" s="33" t="s">
        <v>98</v>
      </c>
      <c r="H77" s="33" t="s">
        <v>98</v>
      </c>
      <c r="I77" s="33" t="s">
        <v>98</v>
      </c>
      <c r="J77" s="33" t="s">
        <v>1120</v>
      </c>
    </row>
    <row r="78" spans="1:10" x14ac:dyDescent="0.35">
      <c r="A78" s="62"/>
      <c r="B78" s="73" t="s">
        <v>408</v>
      </c>
      <c r="C78" s="74" t="s">
        <v>146</v>
      </c>
      <c r="D78" s="74" t="s">
        <v>581</v>
      </c>
      <c r="E78" s="74" t="s">
        <v>98</v>
      </c>
      <c r="F78" s="74" t="s">
        <v>98</v>
      </c>
      <c r="G78" s="33" t="s">
        <v>98</v>
      </c>
      <c r="H78" s="33" t="s">
        <v>98</v>
      </c>
      <c r="I78" s="33" t="s">
        <v>98</v>
      </c>
      <c r="J78" s="33" t="s">
        <v>1119</v>
      </c>
    </row>
    <row r="79" spans="1:10" x14ac:dyDescent="0.35">
      <c r="A79" s="62"/>
      <c r="B79" s="73" t="s">
        <v>408</v>
      </c>
      <c r="C79" s="74" t="s">
        <v>146</v>
      </c>
      <c r="D79" s="74" t="s">
        <v>582</v>
      </c>
      <c r="E79" s="74" t="s">
        <v>98</v>
      </c>
      <c r="F79" s="74" t="s">
        <v>98</v>
      </c>
      <c r="G79" s="33" t="s">
        <v>98</v>
      </c>
      <c r="H79" s="33" t="s">
        <v>98</v>
      </c>
      <c r="I79" s="33" t="s">
        <v>98</v>
      </c>
      <c r="J79" s="33" t="s">
        <v>1119</v>
      </c>
    </row>
    <row r="80" spans="1:10" x14ac:dyDescent="0.35">
      <c r="A80" s="62"/>
      <c r="B80" s="73" t="s">
        <v>408</v>
      </c>
      <c r="C80" s="74" t="s">
        <v>146</v>
      </c>
      <c r="D80" s="74" t="s">
        <v>583</v>
      </c>
      <c r="E80" s="74" t="s">
        <v>98</v>
      </c>
      <c r="F80" s="74" t="s">
        <v>98</v>
      </c>
      <c r="G80" s="33" t="s">
        <v>98</v>
      </c>
      <c r="H80" s="33" t="s">
        <v>98</v>
      </c>
      <c r="I80" s="33" t="s">
        <v>98</v>
      </c>
      <c r="J80" s="33" t="s">
        <v>1119</v>
      </c>
    </row>
    <row r="81" spans="1:10" x14ac:dyDescent="0.35">
      <c r="A81" s="62"/>
      <c r="B81" s="73" t="s">
        <v>408</v>
      </c>
      <c r="C81" s="74" t="s">
        <v>146</v>
      </c>
      <c r="D81" s="74" t="s">
        <v>584</v>
      </c>
      <c r="E81" s="74" t="s">
        <v>98</v>
      </c>
      <c r="F81" s="74" t="s">
        <v>98</v>
      </c>
      <c r="G81" s="33" t="s">
        <v>98</v>
      </c>
      <c r="H81" s="33" t="s">
        <v>98</v>
      </c>
      <c r="I81" s="33" t="s">
        <v>98</v>
      </c>
      <c r="J81" s="33" t="s">
        <v>1119</v>
      </c>
    </row>
    <row r="82" spans="1:10" x14ac:dyDescent="0.35">
      <c r="A82" s="62"/>
      <c r="B82" s="73" t="s">
        <v>408</v>
      </c>
      <c r="C82" s="74" t="s">
        <v>146</v>
      </c>
      <c r="D82" s="74" t="s">
        <v>585</v>
      </c>
      <c r="E82" s="74" t="s">
        <v>98</v>
      </c>
      <c r="F82" s="74" t="s">
        <v>98</v>
      </c>
      <c r="G82" s="33" t="s">
        <v>98</v>
      </c>
      <c r="H82" s="33" t="s">
        <v>98</v>
      </c>
      <c r="I82" s="33" t="s">
        <v>98</v>
      </c>
      <c r="J82" s="33" t="s">
        <v>1119</v>
      </c>
    </row>
    <row r="83" spans="1:10" x14ac:dyDescent="0.35">
      <c r="A83" s="62"/>
      <c r="B83" s="73" t="s">
        <v>408</v>
      </c>
      <c r="C83" s="74" t="s">
        <v>146</v>
      </c>
      <c r="D83" s="74" t="s">
        <v>586</v>
      </c>
      <c r="E83" s="74" t="s">
        <v>98</v>
      </c>
      <c r="F83" s="74" t="s">
        <v>98</v>
      </c>
      <c r="G83" s="33" t="s">
        <v>98</v>
      </c>
      <c r="H83" s="33" t="s">
        <v>98</v>
      </c>
      <c r="I83" s="33" t="s">
        <v>98</v>
      </c>
      <c r="J83" s="33" t="s">
        <v>1119</v>
      </c>
    </row>
    <row r="84" spans="1:10" x14ac:dyDescent="0.35">
      <c r="A84" s="62"/>
      <c r="B84" s="73" t="s">
        <v>408</v>
      </c>
      <c r="C84" s="74" t="s">
        <v>146</v>
      </c>
      <c r="D84" s="74" t="s">
        <v>587</v>
      </c>
      <c r="E84" s="74" t="s">
        <v>98</v>
      </c>
      <c r="F84" s="74" t="s">
        <v>98</v>
      </c>
      <c r="G84" s="33" t="s">
        <v>98</v>
      </c>
      <c r="H84" s="33" t="s">
        <v>98</v>
      </c>
      <c r="I84" s="33" t="s">
        <v>98</v>
      </c>
      <c r="J84" s="33" t="s">
        <v>1119</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041D01D3C723478E2BAE2F6693E896" ma:contentTypeVersion="23" ma:contentTypeDescription="Create a new document." ma:contentTypeScope="" ma:versionID="8ce1796293ce2ea6f7fa6943021c4380">
  <xsd:schema xmlns:xsd="http://www.w3.org/2001/XMLSchema" xmlns:xs="http://www.w3.org/2001/XMLSchema" xmlns:p="http://schemas.microsoft.com/office/2006/metadata/properties" xmlns:ns1="http://schemas.microsoft.com/sharepoint/v3" xmlns:ns2="b3c173d6-7a49-4143-b0d8-9962fbeccda6" xmlns:ns3="a7a0cf20-2279-40a7-b4c2-4e87a66c5168" xmlns:ns4="http://schemas.microsoft.com/sharepoint/v3/fields" targetNamespace="http://schemas.microsoft.com/office/2006/metadata/properties" ma:root="true" ma:fieldsID="b65498bf1c17e8705019b71d5243d0e7" ns1:_="" ns2:_="" ns3:_="" ns4:_="">
    <xsd:import namespace="http://schemas.microsoft.com/sharepoint/v3"/>
    <xsd:import namespace="b3c173d6-7a49-4143-b0d8-9962fbeccda6"/>
    <xsd:import namespace="a7a0cf20-2279-40a7-b4c2-4e87a66c5168"/>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Priority" minOccurs="0"/>
                <xsd:element ref="ns2:Remarks" minOccurs="0"/>
                <xsd:element ref="ns2:Jirarelatedticket" minOccurs="0"/>
                <xsd:element ref="ns2:JirarelatedticketURL" minOccurs="0"/>
                <xsd:element ref="ns2:VersionControl" minOccurs="0"/>
                <xsd:element ref="ns2:Status" minOccurs="0"/>
                <xsd:element ref="ns4:_Vers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Unified Compliance Policy Properties" ma:hidden="true" ma:internalName="_ip_UnifiedCompliancePolicyProperties">
      <xsd:simpleType>
        <xsd:restriction base="dms:Note"/>
      </xsd:simpleType>
    </xsd:element>
    <xsd:element name="_ip_UnifiedCompliancePolicyUIAction" ma:index="3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c173d6-7a49-4143-b0d8-9962fbecc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0fb168c7-a83d-43da-8b28-fecc2072f27d"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Priority" ma:index="22" nillable="true" ma:displayName="Execution Order" ma:format="Dropdown" ma:internalName="Priority" ma:percentage="FALSE">
      <xsd:simpleType>
        <xsd:restriction base="dms:Number"/>
      </xsd:simpleType>
    </xsd:element>
    <xsd:element name="Remarks" ma:index="23" nillable="true" ma:displayName="Remarks" ma:format="Dropdown" ma:internalName="Remarks">
      <xsd:simpleType>
        <xsd:restriction base="dms:Text">
          <xsd:maxLength value="255"/>
        </xsd:restriction>
      </xsd:simpleType>
    </xsd:element>
    <xsd:element name="Jirarelatedticket" ma:index="24" nillable="true" ma:displayName="Jira related ticket" ma:format="Dropdown" ma:internalName="Jirarelatedticket">
      <xsd:simpleType>
        <xsd:restriction base="dms:Text">
          <xsd:maxLength value="255"/>
        </xsd:restriction>
      </xsd:simpleType>
    </xsd:element>
    <xsd:element name="JirarelatedticketURL" ma:index="25" nillable="true" ma:displayName="Jira related ticket URL" ma:format="Hyperlink" ma:internalName="JirarelatedticketURL">
      <xsd:complexType>
        <xsd:complexContent>
          <xsd:extension base="dms:URL">
            <xsd:sequence>
              <xsd:element name="Url" type="dms:ValidUrl" minOccurs="0" nillable="true"/>
              <xsd:element name="Description" type="xsd:string" nillable="true"/>
            </xsd:sequence>
          </xsd:extension>
        </xsd:complexContent>
      </xsd:complexType>
    </xsd:element>
    <xsd:element name="VersionControl" ma:index="26" nillable="true" ma:displayName="Version Control" ma:default="1" ma:description="Captures the version of the file" ma:format="Dropdown" ma:internalName="VersionControl" ma:percentage="FALSE">
      <xsd:simpleType>
        <xsd:restriction base="dms:Number"/>
      </xsd:simpleType>
    </xsd:element>
    <xsd:element name="Status" ma:index="27" nillable="true" ma:displayName="Status" ma:format="Dropdown" ma:internalName="Status">
      <xsd:simpleType>
        <xsd:restriction base="dms:Choice">
          <xsd:enumeration value="Business Reviewed"/>
          <xsd:enumeration value="Analysis Completed"/>
          <xsd:enumeration value="Dev Question"/>
        </xsd:restriction>
      </xsd:simpleType>
    </xsd:element>
  </xsd:schema>
  <xsd:schema xmlns:xsd="http://www.w3.org/2001/XMLSchema" xmlns:xs="http://www.w3.org/2001/XMLSchema" xmlns:dms="http://schemas.microsoft.com/office/2006/documentManagement/types" xmlns:pc="http://schemas.microsoft.com/office/infopath/2007/PartnerControls" targetNamespace="a7a0cf20-2279-40a7-b4c2-4e87a66c516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380d790-8dfb-4d3c-b747-c5739ba1edd6}" ma:internalName="TaxCatchAll" ma:showField="CatchAllData" ma:web="a7a0cf20-2279-40a7-b4c2-4e87a66c516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28" nillable="true" ma:displayName="Version" ma:decimals="1" ma:default="1" ma:format="Dropdown" ma:internalName="_Version" ma:percentage="FALSE">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Version xmlns="http://schemas.microsoft.com/sharepoint/v3/fields">1</_Version>
    <Jirarelatedticket xmlns="b3c173d6-7a49-4143-b0d8-9962fbeccda6" xsi:nil="true"/>
    <Remarks xmlns="b3c173d6-7a49-4143-b0d8-9962fbeccda6" xsi:nil="true"/>
    <JirarelatedticketURL xmlns="b3c173d6-7a49-4143-b0d8-9962fbeccda6">
      <Url xsi:nil="true"/>
      <Description xsi:nil="true"/>
    </JirarelatedticketURL>
    <lcf76f155ced4ddcb4097134ff3c332f xmlns="b3c173d6-7a49-4143-b0d8-9962fbeccda6">
      <Terms xmlns="http://schemas.microsoft.com/office/infopath/2007/PartnerControls"/>
    </lcf76f155ced4ddcb4097134ff3c332f>
    <TaxCatchAll xmlns="a7a0cf20-2279-40a7-b4c2-4e87a66c5168" xsi:nil="true"/>
    <Priority xmlns="b3c173d6-7a49-4143-b0d8-9962fbeccda6" xsi:nil="true"/>
    <_ip_UnifiedCompliancePolicyProperties xmlns="http://schemas.microsoft.com/sharepoint/v3" xsi:nil="true"/>
    <Status xmlns="b3c173d6-7a49-4143-b0d8-9962fbeccda6" xsi:nil="true"/>
    <VersionControl xmlns="b3c173d6-7a49-4143-b0d8-9962fbeccda6">1</VersionControl>
  </documentManagement>
</p:properties>
</file>

<file path=customXml/itemProps1.xml><?xml version="1.0" encoding="utf-8"?>
<ds:datastoreItem xmlns:ds="http://schemas.openxmlformats.org/officeDocument/2006/customXml" ds:itemID="{BE3E7E66-0E67-4EF4-B118-8F3B9817D5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c173d6-7a49-4143-b0d8-9962fbeccda6"/>
    <ds:schemaRef ds:uri="a7a0cf20-2279-40a7-b4c2-4e87a66c5168"/>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BA3913-63BF-4628-B993-A4538886ABDC}">
  <ds:schemaRefs>
    <ds:schemaRef ds:uri="http://schemas.microsoft.com/sharepoint/v3/contenttype/forms"/>
  </ds:schemaRefs>
</ds:datastoreItem>
</file>

<file path=customXml/itemProps3.xml><?xml version="1.0" encoding="utf-8"?>
<ds:datastoreItem xmlns:ds="http://schemas.openxmlformats.org/officeDocument/2006/customXml" ds:itemID="{61F40373-25B2-4812-86EA-883CF299A2D0}">
  <ds:schemaRefs>
    <ds:schemaRef ds:uri="http://schemas.microsoft.com/office/2006/metadata/properties"/>
    <ds:schemaRef ds:uri="http://schemas.microsoft.com/office/infopath/2007/PartnerControls"/>
    <ds:schemaRef ds:uri="http://schemas.microsoft.com/sharepoint/v3"/>
    <ds:schemaRef ds:uri="http://schemas.microsoft.com/sharepoint/v3/fields"/>
    <ds:schemaRef ds:uri="b3c173d6-7a49-4143-b0d8-9962fbeccda6"/>
    <ds:schemaRef ds:uri="a7a0cf20-2279-40a7-b4c2-4e87a66c51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China E2E scenarios</vt:lpstr>
      <vt:lpstr>China Integeration Data</vt:lpstr>
      <vt:lpstr>Odessa Field Validations</vt:lpstr>
      <vt:lpstr>Origination Field Validations</vt:lpstr>
      <vt:lpstr>Regression Scenarios(UK)</vt:lpstr>
      <vt:lpstr>Regression Scenarios (CH)</vt:lpstr>
      <vt:lpstr>Sheet1</vt:lpstr>
      <vt:lpstr>Deals Automated</vt:lpstr>
      <vt:lpstr>Test refrence - Business</vt:lpstr>
      <vt:lpstr>China MasterTestcases</vt:lpstr>
      <vt:lpstr>QT-CHN-TESTING-COE-26071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ELUVATHINGAL Don</dc:creator>
  <cp:keywords/>
  <dc:description/>
  <cp:lastModifiedBy>LIU Olina (BPCE Equipment Solutions - CN)</cp:lastModifiedBy>
  <cp:revision/>
  <dcterms:created xsi:type="dcterms:W3CDTF">2026-03-13T07:53:20Z</dcterms:created>
  <dcterms:modified xsi:type="dcterms:W3CDTF">2026-04-03T08:24:51Z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d18aa4-ed64-4d59-b931-5ad635491991_Enabled">
    <vt:lpwstr>true</vt:lpwstr>
  </property>
  <property fmtid="{D5CDD505-2E9C-101B-9397-08002B2CF9AE}" pid="3" name="MSIP_Label_7dd18aa4-ed64-4d59-b931-5ad635491991_SetDate">
    <vt:lpwstr>2026-03-13T11:58:55Z</vt:lpwstr>
  </property>
  <property fmtid="{D5CDD505-2E9C-101B-9397-08002B2CF9AE}" pid="4" name="MSIP_Label_7dd18aa4-ed64-4d59-b931-5ad635491991_Method">
    <vt:lpwstr>Privileged</vt:lpwstr>
  </property>
  <property fmtid="{D5CDD505-2E9C-101B-9397-08002B2CF9AE}" pid="5" name="MSIP_Label_7dd18aa4-ed64-4d59-b931-5ad635491991_Name">
    <vt:lpwstr>Standard</vt:lpwstr>
  </property>
  <property fmtid="{D5CDD505-2E9C-101B-9397-08002B2CF9AE}" pid="6" name="MSIP_Label_7dd18aa4-ed64-4d59-b931-5ad635491991_SiteId">
    <vt:lpwstr>d5bb6d35-8a82-4329-b49a-5030bd6497ab</vt:lpwstr>
  </property>
  <property fmtid="{D5CDD505-2E9C-101B-9397-08002B2CF9AE}" pid="7" name="MSIP_Label_7dd18aa4-ed64-4d59-b931-5ad635491991_ActionId">
    <vt:lpwstr>21218c91-937a-41d9-996d-d80214e75937</vt:lpwstr>
  </property>
  <property fmtid="{D5CDD505-2E9C-101B-9397-08002B2CF9AE}" pid="8" name="MSIP_Label_7dd18aa4-ed64-4d59-b931-5ad635491991_ContentBits">
    <vt:lpwstr>0</vt:lpwstr>
  </property>
  <property fmtid="{D5CDD505-2E9C-101B-9397-08002B2CF9AE}" pid="9" name="ContentTypeId">
    <vt:lpwstr>0x01010068041D01D3C723478E2BAE2F6693E896</vt:lpwstr>
  </property>
  <property fmtid="{D5CDD505-2E9C-101B-9397-08002B2CF9AE}" pid="10" name="MediaServiceImageTags">
    <vt:lpwstr/>
  </property>
  <property fmtid="{D5CDD505-2E9C-101B-9397-08002B2CF9AE}" pid="11" name="MSIP_Label_1aaa69c8-0478-4e13-9e4c-38511e3b6774_Enabled">
    <vt:lpwstr>true</vt:lpwstr>
  </property>
  <property fmtid="{D5CDD505-2E9C-101B-9397-08002B2CF9AE}" pid="12" name="MSIP_Label_1aaa69c8-0478-4e13-9e4c-38511e3b6774_SetDate">
    <vt:lpwstr>2026-04-03T08:24:51Z</vt:lpwstr>
  </property>
  <property fmtid="{D5CDD505-2E9C-101B-9397-08002B2CF9AE}" pid="13" name="MSIP_Label_1aaa69c8-0478-4e13-9e4c-38511e3b6774_Method">
    <vt:lpwstr>Privileged</vt:lpwstr>
  </property>
  <property fmtid="{D5CDD505-2E9C-101B-9397-08002B2CF9AE}" pid="14" name="MSIP_Label_1aaa69c8-0478-4e13-9e4c-38511e3b6774_Name">
    <vt:lpwstr>1aaa69c8-0478-4e13-9e4c-38511e3b6774</vt:lpwstr>
  </property>
  <property fmtid="{D5CDD505-2E9C-101B-9397-08002B2CF9AE}" pid="15" name="MSIP_Label_1aaa69c8-0478-4e13-9e4c-38511e3b6774_SiteId">
    <vt:lpwstr>c9a7d621-4bc4-4407-b730-f428e656aa9e</vt:lpwstr>
  </property>
  <property fmtid="{D5CDD505-2E9C-101B-9397-08002B2CF9AE}" pid="16" name="MSIP_Label_1aaa69c8-0478-4e13-9e4c-38511e3b6774_ActionId">
    <vt:lpwstr>416ee7bd-44c0-4baf-af82-5685d1278a70</vt:lpwstr>
  </property>
  <property fmtid="{D5CDD505-2E9C-101B-9397-08002B2CF9AE}" pid="17" name="MSIP_Label_1aaa69c8-0478-4e13-9e4c-38511e3b6774_ContentBits">
    <vt:lpwstr>0</vt:lpwstr>
  </property>
</Properties>
</file>