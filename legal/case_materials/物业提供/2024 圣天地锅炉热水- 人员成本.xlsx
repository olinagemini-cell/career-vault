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60" windowHeight="8820" tabRatio="837" activeTab="6"/>
  </bookViews>
  <sheets>
    <sheet name="汇总" sheetId="35" r:id="rId1"/>
    <sheet name="2023.12" sheetId="15" r:id="rId2"/>
    <sheet name="2024.01" sheetId="24" r:id="rId3"/>
    <sheet name="2024.02" sheetId="25" r:id="rId4"/>
    <sheet name="2024.03" sheetId="26" r:id="rId5"/>
    <sheet name="2024.04" sheetId="27" r:id="rId6"/>
    <sheet name="2024.05" sheetId="28" r:id="rId7"/>
    <sheet name="2024.06" sheetId="29" r:id="rId8"/>
    <sheet name="2024.07" sheetId="30" r:id="rId9"/>
    <sheet name="2024.08" sheetId="31" r:id="rId10"/>
    <sheet name="2024.09" sheetId="32" r:id="rId11"/>
    <sheet name="2024.10" sheetId="33" r:id="rId12"/>
    <sheet name="2024.11" sheetId="34" r:id="rId13"/>
    <sheet name="Sheet3" sheetId="3" state="hidden" r:id="rId14"/>
  </sheets>
  <definedNames>
    <definedName name="_xlnm.Print_Area" localSheetId="1">'2023.12'!$A$1:$G$25</definedName>
    <definedName name="_xlnm.Print_Area" localSheetId="2">'2024.01'!$A$1:$G$25</definedName>
    <definedName name="_xlnm.Print_Area" localSheetId="3">'2024.02'!$A$1:$G$25</definedName>
    <definedName name="_xlnm.Print_Area" localSheetId="4">'2024.03'!$A$1:$G$25</definedName>
    <definedName name="_xlnm.Print_Area" localSheetId="5">'2024.04'!$A$1:$G$25</definedName>
    <definedName name="_xlnm.Print_Area" localSheetId="6">'2024.05'!$A$1:$G$25</definedName>
    <definedName name="_xlnm.Print_Area" localSheetId="7">'2024.06'!$A$1:$G$25</definedName>
    <definedName name="_xlnm.Print_Area" localSheetId="8">'2024.07'!$A$1:$G$25</definedName>
    <definedName name="_xlnm.Print_Area" localSheetId="9">'2024.08'!$A$1:$G$25</definedName>
    <definedName name="_xlnm.Print_Area" localSheetId="10">'2024.09'!$A$1:$G$25</definedName>
    <definedName name="_xlnm.Print_Area" localSheetId="11">'2024.10'!$A$1:$G$25</definedName>
    <definedName name="_xlnm.Print_Area" localSheetId="12">'2024.11'!$A$1:$G$24</definedName>
    <definedName name="_xlnm.Print_Area" localSheetId="0">汇总!$A$1:$F$19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<sst xmlns="http://schemas.openxmlformats.org/spreadsheetml/2006/main" count="216" uniqueCount="76">
  <si>
    <t>圣天地公寓锅炉工人员成本（2024年度）</t>
  </si>
  <si>
    <t>月份</t>
  </si>
  <si>
    <t>人数</t>
  </si>
  <si>
    <t>薪资</t>
  </si>
  <si>
    <t>五险一金</t>
  </si>
  <si>
    <r>
      <rPr>
        <sz val="11"/>
        <rFont val="宋体"/>
        <charset val="134"/>
      </rPr>
      <t>合计</t>
    </r>
  </si>
  <si>
    <r>
      <rPr>
        <sz val="11"/>
        <rFont val="宋体"/>
        <charset val="134"/>
      </rPr>
      <t>备注</t>
    </r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</si>
  <si>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</si>
  <si>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</si>
  <si>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</si>
  <si>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</si>
  <si>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</si>
  <si>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</si>
  <si>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</si>
  <si>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</si>
  <si>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</si>
  <si>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</si>
  <si>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</si>
  <si>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</si>
  <si>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r>
      <rPr>
        <sz val="10"/>
        <color rgb="FF000000"/>
        <rFont val="宋体"/>
        <charset val="134"/>
      </rPr>
      <t>张标协议加班，算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人</t>
    </r>
  </si>
  <si>
    <t>合计：</t>
  </si>
  <si>
    <t>圣天地公寓锅炉工人员成本（2023年12月）</t>
  </si>
  <si>
    <t>姓名</t>
  </si>
  <si>
    <r>
      <rPr>
        <sz val="11"/>
        <rFont val="宋体"/>
        <charset val="134"/>
      </rPr>
      <t>员工人数</t>
    </r>
  </si>
  <si>
    <t>工资</t>
  </si>
  <si>
    <t>其他</t>
  </si>
  <si>
    <t>公司四金</t>
  </si>
  <si>
    <t>王贵阳</t>
  </si>
  <si>
    <t>马春生</t>
  </si>
  <si>
    <t>王文乾</t>
  </si>
  <si>
    <r>
      <rPr>
        <b/>
        <sz val="11"/>
        <rFont val="宋体"/>
        <charset val="134"/>
      </rPr>
      <t>人员费用合计</t>
    </r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</si>
  <si>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2024/1/10</t>
    </r>
  </si>
  <si>
    <t>圣天地公寓锅炉工人员成本（2024年01月）</t>
  </si>
  <si>
    <t>年终奖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</si>
  <si>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2024/2/10</t>
    </r>
  </si>
  <si>
    <t>圣天地公寓锅炉工人员成本（2024年02月）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</si>
  <si>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2024/3/10</t>
    </r>
  </si>
  <si>
    <t>圣天地公寓锅炉工人员成本（2024年3月）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</si>
  <si>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2024/4/10</t>
    </r>
  </si>
  <si>
    <t>圣天地公寓锅炉工人员成本（2024年4月）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</si>
  <si>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2024/5/10</t>
    </r>
  </si>
  <si>
    <t>圣天地公寓锅炉工人员成本（2024年5月）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</si>
  <si>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2024/6/10</t>
    </r>
  </si>
  <si>
    <t>圣天地公寓锅炉工人员成本（2024年6月）</t>
  </si>
  <si>
    <t>史金军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</si>
  <si>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2024/7/10</t>
    </r>
  </si>
  <si>
    <t>圣天地公寓锅炉工人员成本（2024年7月）</t>
  </si>
  <si>
    <t>张标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</si>
  <si>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2024/8/10</t>
    </r>
  </si>
  <si>
    <t>圣天地公寓锅炉工人员成本（2024年8月）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</si>
  <si>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2024/9/10</t>
    </r>
  </si>
  <si>
    <t>圣天地公寓锅炉工人员成本（2024年9月）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</si>
  <si>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2024/10/10</t>
    </r>
  </si>
  <si>
    <t>圣天地公寓锅炉工人员成本（2024年10月）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</si>
  <si>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2024/11/10</t>
    </r>
  </si>
  <si>
    <t>圣天地公寓锅炉工人员成本（2024年11月）</t>
  </si>
  <si>
    <r>
      <rPr>
        <sz val="11"/>
        <rFont val="宋体"/>
        <charset val="134"/>
      </rPr>
      <t>制表日期：</t>
    </r>
    <r>
      <rPr>
        <sz val="11"/>
        <rFont val="Times New Roman"/>
        <charset val="134"/>
      </rPr>
      <t>2024/12/10</t>
    </r>
  </si>
  <si>
    <t>大厦供电收支表</t>
  </si>
  <si>
    <t>灰色是公式，填没有色的空格</t>
  </si>
  <si>
    <t>项目</t>
  </si>
  <si>
    <t>电费账单
单价</t>
  </si>
  <si>
    <t>供电合理线损费用等</t>
  </si>
  <si>
    <t>电费单价
（含合理线损费等）</t>
  </si>
  <si>
    <t>用电量</t>
  </si>
  <si>
    <t>应收金额</t>
  </si>
  <si>
    <t>收入</t>
  </si>
  <si>
    <t>合并开具13%发票</t>
  </si>
  <si>
    <t>电费</t>
  </si>
  <si>
    <t>小计</t>
  </si>
  <si>
    <t>转供电设施维护费</t>
  </si>
  <si>
    <t>合计</t>
  </si>
  <si>
    <t>分开开具13%和6%发票</t>
  </si>
  <si>
    <t>总计</t>
  </si>
  <si>
    <t>金额</t>
  </si>
  <si>
    <t>支出</t>
  </si>
  <si>
    <t>应付电费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</si>
</sst>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name val="宋体"/>
      <charset val="134"/>
    </font>
    <font>
      <b/>
      <sz val="16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10"/>
      <color indexed="8"/>
      <name val="Times New Roman"/>
      <charset val="134"/>
    </font>
    <font>
      <sz val="11"/>
      <color theme="1"/>
      <name val="宋体"/>
      <charset val="134"/>
    </font>
    <font>
      <sz val="9"/>
      <color theme="1"/>
      <name val="Times New Roman"/>
      <charset val="134"/>
    </font>
    <font>
      <b/>
      <sz val="11"/>
      <name val="Times New Roman"/>
      <charset val="134"/>
    </font>
    <font>
      <b/>
      <u val="singleAccounting"/>
      <sz val="11"/>
      <name val="Times New Roman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7" borderId="6" applyNumberFormat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2" fillId="4" borderId="0" xfId="0" applyFont="1" applyFill="1">
      <alignment vertical="center"/>
    </xf>
    <xf numFmtId="0" fontId="2" fillId="0" borderId="0" xfId="0" applyFont="1">
      <alignment vertical="center"/>
    </xf>
    <xf numFmtId="43" fontId="2" fillId="0" borderId="0" xfId="1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3" fontId="8" fillId="0" borderId="2" xfId="1" applyFont="1" applyFill="1" applyBorder="1" applyAlignment="1">
      <alignment horizontal="center" vertical="center" wrapText="1"/>
    </xf>
    <xf numFmtId="43" fontId="7" fillId="0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4" borderId="0" xfId="0" applyFont="1" applyFill="1" applyAlignment="1">
      <alignment horizontal="center" vertical="center"/>
    </xf>
    <xf numFmtId="43" fontId="7" fillId="4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3" fontId="7" fillId="0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/>
    <xf numFmtId="0" fontId="14" fillId="0" borderId="0" xfId="0" applyFont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3" fontId="2" fillId="0" borderId="0" xfId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3" fontId="8" fillId="0" borderId="0" xfId="1" applyFont="1" applyFill="1" applyBorder="1" applyAlignment="1">
      <alignment horizontal="center" vertical="center" wrapText="1"/>
    </xf>
    <xf numFmtId="43" fontId="7" fillId="0" borderId="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3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customStorage" Target="customStorage/customStorage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view="pageBreakPreview" zoomScaleNormal="100" topLeftCell="A7" workbookViewId="0">
      <selection activeCell="F9" sqref="F9"/>
    </sheetView>
  </sheetViews>
  <sheetFormatPr defaultColWidth="23.1759259259259" defaultRowHeight="13.8" outlineLevelCol="6"/>
  <cols>
    <col min="1" max="1" width="14.0925925925926" style="16" customWidth="1"/>
    <col min="2" max="2" width="7.26851851851852" style="16" customWidth="1"/>
    <col min="3" max="3" width="11.3611111111111" style="16" customWidth="1"/>
    <col min="4" max="4" width="11.4537037037037" style="43" customWidth="1"/>
    <col min="5" max="5" width="10.9074074074074" style="16" customWidth="1"/>
    <col min="6" max="6" width="29.2685185185185" style="16" customWidth="1"/>
    <col min="7" max="16384" width="23.1759259259259" style="16"/>
  </cols>
  <sheetData>
    <row r="1" ht="26.25" customHeight="1" spans="1:5">
      <c r="A1" s="18"/>
      <c r="B1" s="18"/>
      <c r="E1" s="43"/>
    </row>
    <row r="2" ht="26.25" customHeight="1" spans="1:5">
      <c r="A2" s="18"/>
      <c r="B2" s="18"/>
      <c r="E2" s="43"/>
    </row>
    <row r="3" ht="26.25" customHeight="1" spans="1:6">
      <c r="A3" s="19" t="s">
        <v>0</v>
      </c>
      <c r="B3" s="19"/>
      <c r="C3" s="19"/>
      <c r="D3" s="19"/>
      <c r="E3" s="19"/>
      <c r="F3" s="19"/>
    </row>
    <row r="4" ht="20.4" spans="1:5">
      <c r="A4" s="20"/>
      <c r="B4" s="20"/>
      <c r="C4" s="20"/>
      <c r="D4" s="20"/>
      <c r="E4" s="20"/>
    </row>
    <row r="5" s="42" customFormat="1" ht="27" customHeight="1" spans="1:6">
      <c r="A5" s="44" t="s">
        <v>1</v>
      </c>
      <c r="B5" s="44" t="s">
        <v>2</v>
      </c>
      <c r="C5" s="45" t="s">
        <v>3</v>
      </c>
      <c r="D5" s="46" t="s">
        <v>4</v>
      </c>
      <c r="E5" s="47" t="s">
        <v>5</v>
      </c>
      <c r="F5" s="48" t="s">
        <v>6</v>
      </c>
    </row>
    <row r="6" ht="26.25" customHeight="1" spans="1:7">
      <c r="A6" s="44" t="s">
        <v>7</v>
      </c>
      <c r="B6" s="44">
        <f>'2023.12'!B9</f>
        <v>3</v>
      </c>
      <c r="C6" s="49">
        <f>'2023.12'!C9</f>
        <v>18462.1</v>
      </c>
      <c r="D6" s="27">
        <f>'2023.12'!E9</f>
        <v>2378.86</v>
      </c>
      <c r="E6" s="27">
        <f>SUM(C6:D6)</f>
        <v>20840.96</v>
      </c>
      <c r="F6" s="28"/>
      <c r="G6" s="29"/>
    </row>
    <row r="7" ht="26.25" customHeight="1" spans="1:7">
      <c r="A7" s="44" t="s">
        <v>8</v>
      </c>
      <c r="B7" s="44">
        <f>'2024.01'!B9</f>
        <v>3</v>
      </c>
      <c r="C7" s="49">
        <f>'2024.01'!C9+'2024.01'!D9</f>
        <v>44944.8</v>
      </c>
      <c r="D7" s="27">
        <f>'2024.01'!E9</f>
        <v>2378.86</v>
      </c>
      <c r="E7" s="27">
        <f t="shared" ref="E7:E17" si="0">SUM(C7:D7)</f>
        <v>47323.66</v>
      </c>
      <c r="F7" s="28"/>
      <c r="G7" s="29"/>
    </row>
    <row r="8" ht="26.25" customHeight="1" spans="1:7">
      <c r="A8" s="44" t="s">
        <v>9</v>
      </c>
      <c r="B8" s="44">
        <f>'2024.02'!B9</f>
        <v>3</v>
      </c>
      <c r="C8" s="49">
        <f>'2024.02'!C9+'2024.02'!D9</f>
        <v>22919.5</v>
      </c>
      <c r="D8" s="27">
        <f>'2024.02'!E9</f>
        <v>2378.86</v>
      </c>
      <c r="E8" s="27">
        <f t="shared" si="0"/>
        <v>25298.36</v>
      </c>
      <c r="F8" s="28"/>
      <c r="G8" s="29"/>
    </row>
    <row r="9" ht="26.25" customHeight="1" spans="1:7">
      <c r="A9" s="44" t="s">
        <v>10</v>
      </c>
      <c r="B9" s="44">
        <f>'2024.03'!B9</f>
        <v>3</v>
      </c>
      <c r="C9" s="49">
        <f>'2024.03'!C9+'2024.03'!D9</f>
        <v>17800</v>
      </c>
      <c r="D9" s="27">
        <f>'2024.03'!E9</f>
        <v>2378.86</v>
      </c>
      <c r="E9" s="27">
        <f t="shared" si="0"/>
        <v>20178.86</v>
      </c>
      <c r="F9" s="28"/>
      <c r="G9" s="29"/>
    </row>
    <row r="10" ht="26.25" customHeight="1" spans="1:7">
      <c r="A10" s="44" t="s">
        <v>11</v>
      </c>
      <c r="B10" s="44">
        <f>'2024.04'!B9</f>
        <v>3</v>
      </c>
      <c r="C10" s="49">
        <f>'2024.04'!C9+'2024.04'!D9</f>
        <v>18793.1</v>
      </c>
      <c r="D10" s="27">
        <f>'2024.04'!E9</f>
        <v>2378.86</v>
      </c>
      <c r="E10" s="27">
        <f t="shared" si="0"/>
        <v>21171.96</v>
      </c>
      <c r="F10" s="28"/>
      <c r="G10" s="29"/>
    </row>
    <row r="11" ht="26.25" customHeight="1" spans="1:7">
      <c r="A11" s="44" t="s">
        <v>12</v>
      </c>
      <c r="B11" s="44">
        <f>'2024.05'!B9</f>
        <v>3</v>
      </c>
      <c r="C11" s="49">
        <f>'2024.05'!C9+'2024.05'!D9</f>
        <v>19393.1</v>
      </c>
      <c r="D11" s="27">
        <f>'2024.05'!E9</f>
        <v>2378.86</v>
      </c>
      <c r="E11" s="27">
        <f t="shared" si="0"/>
        <v>21771.96</v>
      </c>
      <c r="F11" s="28"/>
      <c r="G11" s="29"/>
    </row>
    <row r="12" ht="26.25" customHeight="1" spans="1:7">
      <c r="A12" s="44" t="s">
        <v>13</v>
      </c>
      <c r="B12" s="44">
        <f>'2024.06'!B9</f>
        <v>3</v>
      </c>
      <c r="C12" s="49">
        <f>'2024.06'!C9+'2024.06'!D9</f>
        <v>21623</v>
      </c>
      <c r="D12" s="27">
        <f>'2024.06'!E9</f>
        <v>5738.19</v>
      </c>
      <c r="E12" s="27">
        <f t="shared" si="0"/>
        <v>27361.19</v>
      </c>
      <c r="F12" s="28"/>
      <c r="G12" s="29"/>
    </row>
    <row r="13" ht="26.25" customHeight="1" spans="1:7">
      <c r="A13" s="44" t="s">
        <v>14</v>
      </c>
      <c r="B13" s="44">
        <f>'2024.07'!B9</f>
        <v>3</v>
      </c>
      <c r="C13" s="49">
        <f>'2024.07'!C9+'2024.07'!D9</f>
        <v>18100</v>
      </c>
      <c r="D13" s="27">
        <f>'2024.07'!E9</f>
        <v>4604.68</v>
      </c>
      <c r="E13" s="27">
        <f t="shared" si="0"/>
        <v>22704.68</v>
      </c>
      <c r="F13" s="28"/>
      <c r="G13" s="29"/>
    </row>
    <row r="14" ht="26.25" customHeight="1" spans="1:7">
      <c r="A14" s="44" t="s">
        <v>15</v>
      </c>
      <c r="B14" s="44">
        <f>'2024.08'!B9</f>
        <v>3</v>
      </c>
      <c r="C14" s="49">
        <f>'2024.08'!C9+'2024.08'!D9</f>
        <v>25493</v>
      </c>
      <c r="D14" s="27">
        <f>'2024.08'!E9</f>
        <v>4570.64</v>
      </c>
      <c r="E14" s="27">
        <f t="shared" si="0"/>
        <v>30063.64</v>
      </c>
      <c r="F14" s="28"/>
      <c r="G14" s="29"/>
    </row>
    <row r="15" ht="26.25" customHeight="1" spans="1:7">
      <c r="A15" s="44" t="s">
        <v>16</v>
      </c>
      <c r="B15" s="44">
        <f>'2024.09'!B9</f>
        <v>3</v>
      </c>
      <c r="C15" s="49">
        <f>'2024.09'!C9+'2024.09'!D9</f>
        <v>19155.1</v>
      </c>
      <c r="D15" s="27">
        <f>'2024.09'!E9</f>
        <v>4570.64</v>
      </c>
      <c r="E15" s="27">
        <f t="shared" si="0"/>
        <v>23725.74</v>
      </c>
      <c r="F15" s="28"/>
      <c r="G15" s="29"/>
    </row>
    <row r="16" ht="26.25" customHeight="1" spans="1:7">
      <c r="A16" s="44" t="s">
        <v>17</v>
      </c>
      <c r="B16" s="44">
        <f>'2024.10'!B9</f>
        <v>3</v>
      </c>
      <c r="C16" s="49">
        <f>'2024.10'!C9+'2024.10'!D9</f>
        <v>22517</v>
      </c>
      <c r="D16" s="27">
        <f>'2024.10'!E9</f>
        <v>4570.64</v>
      </c>
      <c r="E16" s="27">
        <f t="shared" si="0"/>
        <v>27087.64</v>
      </c>
      <c r="F16" s="28"/>
      <c r="G16" s="29"/>
    </row>
    <row r="17" ht="26.25" customHeight="1" spans="1:7">
      <c r="A17" s="44" t="s">
        <v>18</v>
      </c>
      <c r="B17" s="44">
        <f>'2024.11'!B8</f>
        <v>2</v>
      </c>
      <c r="C17" s="49">
        <f>'2024.11'!C8+'2024.11'!D8</f>
        <v>15400</v>
      </c>
      <c r="D17" s="27">
        <f>'2024.11'!E8</f>
        <v>4570.64</v>
      </c>
      <c r="E17" s="27">
        <f t="shared" si="0"/>
        <v>19970.64</v>
      </c>
      <c r="F17" s="50" t="s">
        <v>19</v>
      </c>
      <c r="G17" s="29"/>
    </row>
    <row r="18" s="15" customFormat="1" ht="26.25" customHeight="1" spans="1:5">
      <c r="A18" s="30" t="s">
        <v>20</v>
      </c>
      <c r="B18" s="30">
        <f>SUM(B6:B17)</f>
        <v>35</v>
      </c>
      <c r="C18" s="30">
        <f t="shared" ref="C18:E18" si="1">SUM(C6:C17)</f>
        <v>264600.7</v>
      </c>
      <c r="D18" s="30">
        <f t="shared" si="1"/>
        <v>42898.59</v>
      </c>
      <c r="E18" s="30">
        <f t="shared" si="1"/>
        <v>307499.29</v>
      </c>
    </row>
    <row r="19" ht="26.25" customHeight="1" spans="1:6">
      <c r="A19" s="32"/>
      <c r="B19" s="32"/>
      <c r="C19" s="33"/>
      <c r="D19" s="27"/>
      <c r="E19" s="27"/>
      <c r="F19" s="35"/>
    </row>
  </sheetData>
  <mergeCells count="1">
    <mergeCell ref="A3:F3"/>
  </mergeCells>
  <printOptions gridLines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topLeftCell="A2" workbookViewId="0">
      <selection activeCell="F9" sqref="F9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21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6000</v>
      </c>
      <c r="D6" s="27">
        <v>0</v>
      </c>
      <c r="E6" s="27">
        <f>1955.86+423</f>
        <v>2378.86</v>
      </c>
      <c r="F6" s="27">
        <f>SUM(C6:E6)</f>
        <v>8378.86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6562.1</v>
      </c>
      <c r="D7" s="27">
        <v>0</v>
      </c>
      <c r="E7" s="27">
        <v>0</v>
      </c>
      <c r="F7" s="27">
        <f t="shared" ref="F7:F8" si="0">SUM(C7:E7)</f>
        <v>6562.1</v>
      </c>
      <c r="G7" s="28"/>
      <c r="H7" s="29"/>
    </row>
    <row r="8" ht="26.25" customHeight="1" spans="1:8">
      <c r="A8" s="25" t="s">
        <v>29</v>
      </c>
      <c r="B8" s="26">
        <v>1</v>
      </c>
      <c r="C8" s="27">
        <v>5900</v>
      </c>
      <c r="D8" s="27">
        <v>0</v>
      </c>
      <c r="E8" s="27">
        <v>0</v>
      </c>
      <c r="F8" s="27">
        <f t="shared" si="0"/>
        <v>5900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18462.1</v>
      </c>
      <c r="D9" s="31">
        <f t="shared" si="1"/>
        <v>0</v>
      </c>
      <c r="E9" s="31">
        <f t="shared" si="1"/>
        <v>2378.86</v>
      </c>
      <c r="F9" s="31">
        <f t="shared" si="1"/>
        <v>20840.96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20840.96</v>
      </c>
      <c r="F12" s="37"/>
      <c r="G12" s="38"/>
      <c r="H12" s="39"/>
    </row>
    <row r="15" ht="14.4" spans="7:7">
      <c r="G15" s="40" t="s">
        <v>31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D16" sqref="D16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11.0925925925926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32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33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7013.8</v>
      </c>
      <c r="D6" s="27">
        <v>9400</v>
      </c>
      <c r="E6" s="27">
        <f>1955.86+423</f>
        <v>2378.86</v>
      </c>
      <c r="F6" s="27">
        <f>SUM(C6:E6)</f>
        <v>18792.66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5900</v>
      </c>
      <c r="D7" s="27">
        <v>8200</v>
      </c>
      <c r="E7" s="27">
        <v>0</v>
      </c>
      <c r="F7" s="27">
        <f t="shared" ref="F7:F8" si="0">SUM(C7:E7)</f>
        <v>14100</v>
      </c>
      <c r="G7" s="28"/>
      <c r="H7" s="29"/>
    </row>
    <row r="8" ht="26.25" customHeight="1" spans="1:8">
      <c r="A8" s="25" t="s">
        <v>29</v>
      </c>
      <c r="B8" s="26">
        <v>1</v>
      </c>
      <c r="C8" s="27">
        <v>6231</v>
      </c>
      <c r="D8" s="27">
        <v>8200</v>
      </c>
      <c r="E8" s="27">
        <v>0</v>
      </c>
      <c r="F8" s="27">
        <f t="shared" si="0"/>
        <v>14431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19144.8</v>
      </c>
      <c r="D9" s="31">
        <f t="shared" si="1"/>
        <v>25800</v>
      </c>
      <c r="E9" s="31">
        <f t="shared" si="1"/>
        <v>2378.86</v>
      </c>
      <c r="F9" s="31">
        <f t="shared" si="1"/>
        <v>47323.66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47323.66</v>
      </c>
      <c r="F12" s="37"/>
      <c r="G12" s="38"/>
      <c r="H12" s="39"/>
    </row>
    <row r="15" ht="14.4" spans="7:7">
      <c r="G15" s="40" t="s">
        <v>34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6" fitToHeight="0" orientation="portrait" horizontalDpi="180" verticalDpi="18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F6" sqref="F6:F8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35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8140.2</v>
      </c>
      <c r="D6" s="27">
        <v>0</v>
      </c>
      <c r="E6" s="27">
        <f>1955.86+423</f>
        <v>2378.86</v>
      </c>
      <c r="F6" s="27">
        <f>SUM(C6:E6)</f>
        <v>10519.06</v>
      </c>
      <c r="G6" s="41"/>
      <c r="H6" s="29"/>
    </row>
    <row r="7" ht="26.25" customHeight="1" spans="1:8">
      <c r="A7" s="25" t="s">
        <v>28</v>
      </c>
      <c r="B7" s="26">
        <v>1</v>
      </c>
      <c r="C7" s="27">
        <v>7555.2</v>
      </c>
      <c r="D7" s="27">
        <v>0</v>
      </c>
      <c r="E7" s="27">
        <v>0</v>
      </c>
      <c r="F7" s="27">
        <f t="shared" ref="F7:F8" si="0">SUM(C7:E7)</f>
        <v>7555.2</v>
      </c>
      <c r="G7" s="41"/>
      <c r="H7" s="29"/>
    </row>
    <row r="8" ht="26.25" customHeight="1" spans="1:8">
      <c r="A8" s="25" t="s">
        <v>29</v>
      </c>
      <c r="B8" s="26">
        <v>1</v>
      </c>
      <c r="C8" s="27">
        <v>7224.1</v>
      </c>
      <c r="D8" s="27">
        <v>0</v>
      </c>
      <c r="E8" s="27">
        <v>0</v>
      </c>
      <c r="F8" s="27">
        <f t="shared" si="0"/>
        <v>7224.1</v>
      </c>
      <c r="G8" s="41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22919.5</v>
      </c>
      <c r="D9" s="31">
        <f t="shared" si="1"/>
        <v>0</v>
      </c>
      <c r="E9" s="31">
        <f t="shared" si="1"/>
        <v>2378.86</v>
      </c>
      <c r="F9" s="31">
        <f t="shared" si="1"/>
        <v>25298.36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25298.36</v>
      </c>
      <c r="F12" s="37"/>
      <c r="G12" s="38"/>
      <c r="H12" s="39"/>
    </row>
    <row r="15" ht="14.4" spans="7:7">
      <c r="G15" s="40" t="s">
        <v>36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F9" sqref="F9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37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6000</v>
      </c>
      <c r="D6" s="27">
        <v>0</v>
      </c>
      <c r="E6" s="27">
        <f>1955.86+423</f>
        <v>2378.86</v>
      </c>
      <c r="F6" s="27">
        <f>SUM(C6:E6)</f>
        <v>8378.86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5900</v>
      </c>
      <c r="D7" s="27">
        <v>0</v>
      </c>
      <c r="E7" s="27">
        <v>0</v>
      </c>
      <c r="F7" s="27">
        <f t="shared" ref="F7:F8" si="0">SUM(C7:E7)</f>
        <v>5900</v>
      </c>
      <c r="G7" s="28"/>
      <c r="H7" s="29"/>
    </row>
    <row r="8" ht="26.25" customHeight="1" spans="1:8">
      <c r="A8" s="25" t="s">
        <v>29</v>
      </c>
      <c r="B8" s="26">
        <v>1</v>
      </c>
      <c r="C8" s="27">
        <v>5900</v>
      </c>
      <c r="D8" s="27">
        <v>0</v>
      </c>
      <c r="E8" s="27">
        <v>0</v>
      </c>
      <c r="F8" s="27">
        <f t="shared" si="0"/>
        <v>5900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17800</v>
      </c>
      <c r="D9" s="31">
        <f t="shared" si="1"/>
        <v>0</v>
      </c>
      <c r="E9" s="31">
        <f t="shared" si="1"/>
        <v>2378.86</v>
      </c>
      <c r="F9" s="31">
        <f t="shared" si="1"/>
        <v>20178.86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20178.86</v>
      </c>
      <c r="F12" s="37"/>
      <c r="G12" s="38"/>
      <c r="H12" s="39"/>
    </row>
    <row r="15" ht="14.4" spans="7:7">
      <c r="G15" s="40" t="s">
        <v>38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C9" sqref="C9:E9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39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6000</v>
      </c>
      <c r="D6" s="27">
        <v>0</v>
      </c>
      <c r="E6" s="27">
        <f>1955.86+423</f>
        <v>2378.86</v>
      </c>
      <c r="F6" s="27">
        <f>SUM(C6:E6)</f>
        <v>8378.86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6562.1</v>
      </c>
      <c r="D7" s="27">
        <v>0</v>
      </c>
      <c r="E7" s="27">
        <v>0</v>
      </c>
      <c r="F7" s="27">
        <f t="shared" ref="F7:F8" si="0">SUM(C7:E7)</f>
        <v>6562.1</v>
      </c>
      <c r="G7" s="28"/>
      <c r="H7" s="29"/>
    </row>
    <row r="8" ht="26.25" customHeight="1" spans="1:8">
      <c r="A8" s="25" t="s">
        <v>29</v>
      </c>
      <c r="B8" s="26">
        <v>1</v>
      </c>
      <c r="C8" s="27">
        <v>6231</v>
      </c>
      <c r="D8" s="27">
        <v>0</v>
      </c>
      <c r="E8" s="27">
        <v>0</v>
      </c>
      <c r="F8" s="27">
        <f t="shared" si="0"/>
        <v>6231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18793.1</v>
      </c>
      <c r="D9" s="31">
        <f t="shared" si="1"/>
        <v>0</v>
      </c>
      <c r="E9" s="31">
        <f t="shared" si="1"/>
        <v>2378.86</v>
      </c>
      <c r="F9" s="31">
        <f t="shared" si="1"/>
        <v>21171.96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21171.96</v>
      </c>
      <c r="F12" s="37"/>
      <c r="G12" s="38"/>
      <c r="H12" s="39"/>
    </row>
    <row r="15" ht="14.4" spans="7:7">
      <c r="G15" s="40" t="s">
        <v>40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tabSelected="1" view="pageBreakPreview" zoomScaleNormal="100" workbookViewId="0">
      <selection activeCell="C9" sqref="C9:E9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41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6300</v>
      </c>
      <c r="D6" s="27">
        <v>0</v>
      </c>
      <c r="E6" s="27">
        <f>1955.86+423</f>
        <v>2378.86</v>
      </c>
      <c r="F6" s="27">
        <f>SUM(C6:E6)</f>
        <v>8678.86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6531</v>
      </c>
      <c r="D7" s="27">
        <v>0</v>
      </c>
      <c r="E7" s="27">
        <v>0</v>
      </c>
      <c r="F7" s="27">
        <f t="shared" ref="F7:F8" si="0">SUM(C7:E7)</f>
        <v>6531</v>
      </c>
      <c r="G7" s="28"/>
      <c r="H7" s="29"/>
    </row>
    <row r="8" ht="26.25" customHeight="1" spans="1:8">
      <c r="A8" s="25" t="s">
        <v>29</v>
      </c>
      <c r="B8" s="26">
        <v>1</v>
      </c>
      <c r="C8" s="27">
        <v>6562.1</v>
      </c>
      <c r="D8" s="27">
        <v>0</v>
      </c>
      <c r="E8" s="27">
        <v>0</v>
      </c>
      <c r="F8" s="27">
        <f t="shared" si="0"/>
        <v>6562.1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19393.1</v>
      </c>
      <c r="D9" s="31">
        <f t="shared" si="1"/>
        <v>0</v>
      </c>
      <c r="E9" s="31">
        <f t="shared" si="1"/>
        <v>2378.86</v>
      </c>
      <c r="F9" s="31">
        <f t="shared" si="1"/>
        <v>21771.96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21771.96</v>
      </c>
      <c r="F12" s="37"/>
      <c r="G12" s="38"/>
      <c r="H12" s="39"/>
    </row>
    <row r="15" ht="14.4" spans="7:7">
      <c r="G15" s="40" t="s">
        <v>42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F6" sqref="F6:F8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43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6750.6</v>
      </c>
      <c r="D6" s="27">
        <v>0</v>
      </c>
      <c r="E6" s="27">
        <f>1955.86+423</f>
        <v>2378.86</v>
      </c>
      <c r="F6" s="27">
        <f>SUM(C6:E6)</f>
        <v>9129.46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6531</v>
      </c>
      <c r="D7" s="27">
        <v>0</v>
      </c>
      <c r="E7" s="27">
        <v>0</v>
      </c>
      <c r="F7" s="27">
        <f t="shared" ref="F7:F8" si="0">SUM(C7:E7)</f>
        <v>6531</v>
      </c>
      <c r="G7" s="28"/>
      <c r="H7" s="29"/>
    </row>
    <row r="8" ht="26.25" customHeight="1" spans="1:8">
      <c r="A8" s="25" t="s">
        <v>44</v>
      </c>
      <c r="B8" s="26">
        <v>1</v>
      </c>
      <c r="C8" s="27">
        <v>8341.4</v>
      </c>
      <c r="D8" s="27">
        <v>0</v>
      </c>
      <c r="E8" s="27">
        <f>2744.33+615</f>
        <v>3359.33</v>
      </c>
      <c r="F8" s="27">
        <f t="shared" si="0"/>
        <v>11700.73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21623</v>
      </c>
      <c r="D9" s="31">
        <f t="shared" si="1"/>
        <v>0</v>
      </c>
      <c r="E9" s="31">
        <f t="shared" si="1"/>
        <v>5738.19</v>
      </c>
      <c r="F9" s="31">
        <f t="shared" si="1"/>
        <v>27361.19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27361.19</v>
      </c>
      <c r="F12" s="37"/>
      <c r="G12" s="38"/>
      <c r="H12" s="39"/>
    </row>
    <row r="15" ht="14.4" spans="7:7">
      <c r="G15" s="40" t="s">
        <v>45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G11" sqref="G11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46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6300</v>
      </c>
      <c r="D6" s="27">
        <v>0</v>
      </c>
      <c r="E6" s="27">
        <f>1955.86+423</f>
        <v>2378.86</v>
      </c>
      <c r="F6" s="27">
        <f>SUM(C6:E6)</f>
        <v>8678.86</v>
      </c>
      <c r="G6" s="28"/>
      <c r="H6" s="29"/>
    </row>
    <row r="7" ht="26.25" customHeight="1" spans="1:8">
      <c r="A7" s="25" t="s">
        <v>28</v>
      </c>
      <c r="B7" s="26">
        <v>1</v>
      </c>
      <c r="C7" s="27">
        <v>6200</v>
      </c>
      <c r="D7" s="27">
        <v>0</v>
      </c>
      <c r="E7" s="27">
        <v>0</v>
      </c>
      <c r="F7" s="27">
        <f>SUM(C7:E7)</f>
        <v>6200</v>
      </c>
      <c r="G7" s="28"/>
      <c r="H7" s="29"/>
    </row>
    <row r="8" ht="26.25" customHeight="1" spans="1:8">
      <c r="A8" s="25" t="s">
        <v>47</v>
      </c>
      <c r="B8" s="26">
        <v>1</v>
      </c>
      <c r="C8" s="27">
        <v>5600</v>
      </c>
      <c r="D8" s="27">
        <v>0</v>
      </c>
      <c r="E8" s="27">
        <f>1901.82+324</f>
        <v>2225.82</v>
      </c>
      <c r="F8" s="27">
        <f t="shared" ref="F8" si="0">SUM(C8:E8)</f>
        <v>7825.82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18100</v>
      </c>
      <c r="D9" s="31">
        <f t="shared" si="1"/>
        <v>0</v>
      </c>
      <c r="E9" s="31">
        <f t="shared" si="1"/>
        <v>4604.68</v>
      </c>
      <c r="F9" s="31">
        <f t="shared" si="1"/>
        <v>22704.68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22704.68</v>
      </c>
      <c r="F12" s="37"/>
      <c r="G12" s="38"/>
      <c r="H12" s="39"/>
    </row>
    <row r="15" ht="14.4" spans="7:7">
      <c r="G15" s="40" t="s">
        <v>48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E6" sqref="E6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49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9300</v>
      </c>
      <c r="D6" s="27">
        <v>0</v>
      </c>
      <c r="E6" s="27">
        <f>1901.82+443</f>
        <v>2344.82</v>
      </c>
      <c r="F6" s="27">
        <f>SUM(C6:E6)</f>
        <v>11644.82</v>
      </c>
      <c r="G6" s="28"/>
      <c r="H6" s="29"/>
    </row>
    <row r="7" ht="26.25" customHeight="1" spans="1:8">
      <c r="A7" s="25" t="s">
        <v>28</v>
      </c>
      <c r="B7" s="26">
        <v>1</v>
      </c>
      <c r="C7" s="27">
        <v>9200</v>
      </c>
      <c r="D7" s="27">
        <v>0</v>
      </c>
      <c r="E7" s="27">
        <v>0</v>
      </c>
      <c r="F7" s="27">
        <f t="shared" ref="F7:F8" si="0">SUM(C7:E7)</f>
        <v>9200</v>
      </c>
      <c r="G7" s="28"/>
      <c r="H7" s="29"/>
    </row>
    <row r="8" ht="26.25" customHeight="1" spans="1:8">
      <c r="A8" s="25" t="s">
        <v>47</v>
      </c>
      <c r="B8" s="26">
        <v>1</v>
      </c>
      <c r="C8" s="27">
        <v>6993</v>
      </c>
      <c r="D8" s="27">
        <v>0</v>
      </c>
      <c r="E8" s="27">
        <f>1901.82+324</f>
        <v>2225.82</v>
      </c>
      <c r="F8" s="27">
        <f t="shared" si="0"/>
        <v>9218.82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1">SUM(C6:C8)</f>
        <v>25493</v>
      </c>
      <c r="D9" s="31">
        <f t="shared" si="1"/>
        <v>0</v>
      </c>
      <c r="E9" s="31">
        <f t="shared" si="1"/>
        <v>4570.64</v>
      </c>
      <c r="F9" s="31">
        <f t="shared" si="1"/>
        <v>30063.64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30063.64</v>
      </c>
      <c r="F12" s="37"/>
      <c r="G12" s="38"/>
      <c r="H12" s="39"/>
    </row>
    <row r="15" ht="14.4" spans="7:7">
      <c r="G15" s="40" t="s">
        <v>50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E6" sqref="E6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51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6000</v>
      </c>
      <c r="D6" s="27">
        <v>0</v>
      </c>
      <c r="E6" s="27">
        <f>1901.82+443</f>
        <v>2344.82</v>
      </c>
      <c r="F6" s="27">
        <f>SUM(C6:E6)</f>
        <v>8344.82</v>
      </c>
      <c r="G6" s="28"/>
      <c r="H6" s="29"/>
    </row>
    <row r="7" ht="26.25" customHeight="1" spans="1:8">
      <c r="A7" s="25" t="s">
        <v>28</v>
      </c>
      <c r="B7" s="26">
        <v>1</v>
      </c>
      <c r="C7" s="17">
        <v>6924.1</v>
      </c>
      <c r="D7" s="27">
        <v>0</v>
      </c>
      <c r="E7" s="27">
        <v>0</v>
      </c>
      <c r="F7" s="27">
        <f t="shared" ref="F7:F8" si="0">SUM(C7:E7)</f>
        <v>6924.1</v>
      </c>
      <c r="G7" s="28"/>
      <c r="H7" s="29"/>
    </row>
    <row r="8" ht="26.25" customHeight="1" spans="1:8">
      <c r="A8" s="25" t="s">
        <v>47</v>
      </c>
      <c r="B8" s="26">
        <v>1</v>
      </c>
      <c r="C8" s="27">
        <v>6231</v>
      </c>
      <c r="D8" s="27">
        <v>0</v>
      </c>
      <c r="E8" s="27">
        <f>1901.82+324</f>
        <v>2225.82</v>
      </c>
      <c r="F8" s="27">
        <f t="shared" si="0"/>
        <v>8456.82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>SUM(C6:C8)</f>
        <v>19155.1</v>
      </c>
      <c r="D9" s="31">
        <f t="shared" ref="D9:F9" si="1">SUM(D6:D8)</f>
        <v>0</v>
      </c>
      <c r="E9" s="31">
        <f t="shared" si="1"/>
        <v>4570.64</v>
      </c>
      <c r="F9" s="31">
        <f t="shared" si="1"/>
        <v>23725.74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23725.74</v>
      </c>
      <c r="F12" s="37"/>
      <c r="G12" s="38"/>
      <c r="H12" s="39"/>
    </row>
    <row r="15" ht="14.4" spans="7:7">
      <c r="G15" s="40" t="s">
        <v>52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5"/>
  <sheetViews>
    <sheetView view="pageBreakPreview" zoomScaleNormal="100" workbookViewId="0">
      <selection activeCell="G12" sqref="G12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53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7013.8</v>
      </c>
      <c r="D6" s="27">
        <v>0</v>
      </c>
      <c r="E6" s="27">
        <f>1901.82+443</f>
        <v>2344.82</v>
      </c>
      <c r="F6" s="27">
        <f>SUM(C6:E6)</f>
        <v>9358.62</v>
      </c>
      <c r="G6" s="28"/>
      <c r="H6" s="29"/>
    </row>
    <row r="7" ht="26.25" customHeight="1" spans="1:8">
      <c r="A7" s="25" t="s">
        <v>28</v>
      </c>
      <c r="B7" s="26">
        <v>1</v>
      </c>
      <c r="C7" s="27">
        <v>8879.1</v>
      </c>
      <c r="D7" s="27">
        <v>0</v>
      </c>
      <c r="E7" s="27">
        <v>0</v>
      </c>
      <c r="F7" s="27">
        <f>SUM(C7:E7)</f>
        <v>8879.1</v>
      </c>
      <c r="G7" s="28"/>
      <c r="H7" s="29"/>
    </row>
    <row r="8" ht="26.25" customHeight="1" spans="1:8">
      <c r="A8" s="25" t="s">
        <v>47</v>
      </c>
      <c r="B8" s="26">
        <v>1</v>
      </c>
      <c r="C8" s="27">
        <v>6624.1</v>
      </c>
      <c r="D8" s="27">
        <v>0</v>
      </c>
      <c r="E8" s="27">
        <f>1901.82+324</f>
        <v>2225.82</v>
      </c>
      <c r="F8" s="27">
        <f>SUM(C8:E8)</f>
        <v>8849.92</v>
      </c>
      <c r="G8" s="28"/>
      <c r="H8" s="29"/>
    </row>
    <row r="9" s="15" customFormat="1" ht="26.25" customHeight="1" spans="1:6">
      <c r="A9" s="30" t="s">
        <v>20</v>
      </c>
      <c r="B9" s="30">
        <f>SUM(B6:B8)</f>
        <v>3</v>
      </c>
      <c r="C9" s="31">
        <f t="shared" ref="C9:F9" si="0">SUM(C6:C8)</f>
        <v>22517</v>
      </c>
      <c r="D9" s="31">
        <f t="shared" si="0"/>
        <v>0</v>
      </c>
      <c r="E9" s="31">
        <f t="shared" si="0"/>
        <v>4570.64</v>
      </c>
      <c r="F9" s="31">
        <f t="shared" si="0"/>
        <v>27087.64</v>
      </c>
    </row>
    <row r="10" s="15" customFormat="1" ht="26.25" customHeight="1" spans="1:9">
      <c r="A10" s="32"/>
      <c r="B10" s="33"/>
      <c r="C10" s="34"/>
      <c r="D10" s="34"/>
      <c r="E10" s="34"/>
      <c r="F10" s="27"/>
      <c r="G10" s="35"/>
      <c r="H10" s="16"/>
      <c r="I10" s="16"/>
    </row>
    <row r="11" ht="26.25" customHeight="1" spans="6:6">
      <c r="F11" s="17"/>
    </row>
    <row r="12" ht="36.65" customHeight="1" spans="1:8">
      <c r="A12" s="36" t="s">
        <v>30</v>
      </c>
      <c r="C12" s="16"/>
      <c r="E12" s="37">
        <f>F9</f>
        <v>27087.64</v>
      </c>
      <c r="F12" s="37"/>
      <c r="G12" s="38"/>
      <c r="H12" s="39"/>
    </row>
    <row r="15" ht="14.4" spans="7:7">
      <c r="G15" s="40" t="s">
        <v>54</v>
      </c>
    </row>
  </sheetData>
  <mergeCells count="2">
    <mergeCell ref="A3:G3"/>
    <mergeCell ref="E12:F12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"/>
  <sheetViews>
    <sheetView view="pageBreakPreview" zoomScaleNormal="100" workbookViewId="0">
      <selection activeCell="G11" sqref="G11"/>
    </sheetView>
  </sheetViews>
  <sheetFormatPr defaultColWidth="23.1759259259259" defaultRowHeight="13.8"/>
  <cols>
    <col min="1" max="1" width="14.0925925925926" style="16" customWidth="1"/>
    <col min="2" max="2" width="8.62962962962963" style="16" customWidth="1"/>
    <col min="3" max="3" width="11.4537037037037" style="17" customWidth="1"/>
    <col min="4" max="4" width="9.72222222222222" style="17" customWidth="1"/>
    <col min="5" max="5" width="12.1759259259259" style="17" customWidth="1"/>
    <col min="6" max="6" width="10.9074074074074" style="16" customWidth="1"/>
    <col min="7" max="7" width="37.1759259259259" style="16" customWidth="1"/>
    <col min="8" max="16384" width="23.1759259259259" style="16"/>
  </cols>
  <sheetData>
    <row r="1" ht="26.25" customHeight="1" spans="1:6">
      <c r="A1" s="18"/>
      <c r="F1" s="17"/>
    </row>
    <row r="2" ht="26.25" customHeight="1" spans="1:6">
      <c r="A2" s="18"/>
      <c r="F2" s="17"/>
    </row>
    <row r="3" ht="26.25" customHeight="1" spans="1:7">
      <c r="A3" s="19" t="s">
        <v>55</v>
      </c>
      <c r="B3" s="19"/>
      <c r="C3" s="19"/>
      <c r="D3" s="19"/>
      <c r="E3" s="19"/>
      <c r="F3" s="19"/>
      <c r="G3" s="19"/>
    </row>
    <row r="4" ht="20.4" spans="1:6">
      <c r="A4" s="20"/>
      <c r="B4" s="20"/>
      <c r="C4" s="20"/>
      <c r="D4" s="20"/>
      <c r="E4" s="20"/>
      <c r="F4" s="20"/>
    </row>
    <row r="5" s="14" customFormat="1" ht="27" customHeight="1" spans="1:7">
      <c r="A5" s="21" t="s">
        <v>22</v>
      </c>
      <c r="B5" s="22" t="s">
        <v>23</v>
      </c>
      <c r="C5" s="23" t="s">
        <v>24</v>
      </c>
      <c r="D5" s="23" t="s">
        <v>25</v>
      </c>
      <c r="E5" s="23" t="s">
        <v>26</v>
      </c>
      <c r="F5" s="24" t="s">
        <v>5</v>
      </c>
      <c r="G5" s="22" t="s">
        <v>6</v>
      </c>
    </row>
    <row r="6" ht="26.25" customHeight="1" spans="1:8">
      <c r="A6" s="25" t="s">
        <v>27</v>
      </c>
      <c r="B6" s="26">
        <v>1</v>
      </c>
      <c r="C6" s="27">
        <v>6000</v>
      </c>
      <c r="D6" s="27">
        <v>0</v>
      </c>
      <c r="E6" s="27">
        <f>1901.82+443</f>
        <v>2344.82</v>
      </c>
      <c r="F6" s="27">
        <f>SUM(C6:E6)</f>
        <v>8344.82</v>
      </c>
      <c r="G6" s="28"/>
      <c r="H6" s="29"/>
    </row>
    <row r="7" ht="26.25" customHeight="1" spans="1:8">
      <c r="A7" s="25" t="s">
        <v>47</v>
      </c>
      <c r="B7" s="26">
        <v>1</v>
      </c>
      <c r="C7" s="27">
        <v>9400</v>
      </c>
      <c r="D7" s="27">
        <v>0</v>
      </c>
      <c r="E7" s="27">
        <f>1901.82+324</f>
        <v>2225.82</v>
      </c>
      <c r="F7" s="27">
        <f>SUM(C7:E7)</f>
        <v>11625.82</v>
      </c>
      <c r="G7" s="28"/>
      <c r="H7" s="29"/>
    </row>
    <row r="8" s="15" customFormat="1" ht="26.25" customHeight="1" spans="1:6">
      <c r="A8" s="30" t="s">
        <v>20</v>
      </c>
      <c r="B8" s="30">
        <f>SUM(B6:B7)</f>
        <v>2</v>
      </c>
      <c r="C8" s="31">
        <f>SUM(C6:C7)</f>
        <v>15400</v>
      </c>
      <c r="D8" s="31">
        <f t="shared" ref="D8:F8" si="0">SUM(D6:D7)</f>
        <v>0</v>
      </c>
      <c r="E8" s="31">
        <f t="shared" si="0"/>
        <v>4570.64</v>
      </c>
      <c r="F8" s="31">
        <f t="shared" si="0"/>
        <v>19970.64</v>
      </c>
    </row>
    <row r="9" s="15" customFormat="1" ht="26.25" customHeight="1" spans="1:9">
      <c r="A9" s="32"/>
      <c r="B9" s="33"/>
      <c r="C9" s="34"/>
      <c r="D9" s="34"/>
      <c r="E9" s="34"/>
      <c r="F9" s="27"/>
      <c r="G9" s="35"/>
      <c r="H9" s="16"/>
      <c r="I9" s="16"/>
    </row>
    <row r="10" ht="26.25" customHeight="1" spans="6:6">
      <c r="F10" s="17"/>
    </row>
    <row r="11" ht="36.65" customHeight="1" spans="1:8">
      <c r="A11" s="36" t="s">
        <v>30</v>
      </c>
      <c r="C11" s="16"/>
      <c r="E11" s="37">
        <f>F8</f>
        <v>19970.64</v>
      </c>
      <c r="F11" s="37"/>
      <c r="G11" s="38"/>
      <c r="H11" s="39"/>
    </row>
    <row r="14" ht="14.4" spans="7:7">
      <c r="G14" s="40" t="s">
        <v>56</v>
      </c>
    </row>
  </sheetData>
  <mergeCells count="2">
    <mergeCell ref="A3:G3"/>
    <mergeCell ref="E11:F11"/>
  </mergeCells>
  <printOptions horizontalCentered="1"/>
  <pageMargins left="0.61" right="0.63" top="0.75" bottom="0.75" header="0.31" footer="0.31"/>
  <pageSetup paperSize="9" scale="87" fitToHeight="0" orientation="portrait" horizontalDpi="180" verticalDpi="18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8"/>
  <sheetViews>
    <sheetView workbookViewId="0">
      <selection activeCell="C6" sqref="C6"/>
    </sheetView>
  </sheetViews>
  <sheetFormatPr defaultColWidth="8.90740740740741" defaultRowHeight="22" customHeight="1"/>
  <cols>
    <col min="2" max="3" width="18.6296296296296" customWidth="1"/>
    <col min="4" max="5" width="14.4537037037037" customWidth="1"/>
    <col min="6" max="6" width="17.9074074074074" customWidth="1"/>
    <col min="7" max="7" width="15.6296296296296" customWidth="1"/>
    <col min="8" max="8" width="19.8148148148148" customWidth="1"/>
    <col min="9" max="9" width="29.9074074074074" customWidth="1"/>
  </cols>
  <sheetData>
    <row r="1" customHeight="1" spans="1:9">
      <c r="A1" t="s">
        <v>57</v>
      </c>
      <c r="I1" t="s">
        <v>58</v>
      </c>
    </row>
    <row r="3" s="1" customFormat="1" ht="43.2" spans="1:8">
      <c r="A3" s="2" t="s">
        <v>59</v>
      </c>
      <c r="B3" s="2"/>
      <c r="C3" s="2"/>
      <c r="D3" s="3" t="s">
        <v>60</v>
      </c>
      <c r="E3" s="3" t="s">
        <v>61</v>
      </c>
      <c r="F3" s="3" t="s">
        <v>62</v>
      </c>
      <c r="G3" s="2" t="s">
        <v>63</v>
      </c>
      <c r="H3" s="2" t="s">
        <v>64</v>
      </c>
    </row>
    <row r="4" customHeight="1" spans="1:8">
      <c r="A4" s="4" t="s">
        <v>65</v>
      </c>
      <c r="B4" s="2" t="s">
        <v>66</v>
      </c>
      <c r="C4" s="5" t="s">
        <v>67</v>
      </c>
      <c r="D4" s="6">
        <v>0.96</v>
      </c>
      <c r="E4" s="7">
        <f>D4*0.1</f>
        <v>0.096</v>
      </c>
      <c r="F4" s="7">
        <f>D4+E4</f>
        <v>1.056</v>
      </c>
      <c r="G4" s="6">
        <v>500</v>
      </c>
      <c r="H4" s="7">
        <f>G4*F4</f>
        <v>528</v>
      </c>
    </row>
    <row r="5" customHeight="1" spans="1:8">
      <c r="A5" s="4"/>
      <c r="B5" s="2"/>
      <c r="C5" s="5" t="s">
        <v>68</v>
      </c>
      <c r="D5" s="7">
        <f>D4</f>
        <v>0.96</v>
      </c>
      <c r="E5" s="7">
        <f>E4</f>
        <v>0.096</v>
      </c>
      <c r="F5" s="7">
        <f>F4</f>
        <v>1.056</v>
      </c>
      <c r="G5" s="7">
        <f>G4</f>
        <v>500</v>
      </c>
      <c r="H5" s="7">
        <f>H4</f>
        <v>528</v>
      </c>
    </row>
    <row r="6" customHeight="1" spans="1:8">
      <c r="A6" s="4"/>
      <c r="B6" s="2"/>
      <c r="C6" s="5" t="s">
        <v>69</v>
      </c>
      <c r="D6" s="7">
        <f>D4</f>
        <v>0.96</v>
      </c>
      <c r="E6" s="7">
        <f>D6*0.1</f>
        <v>0.096</v>
      </c>
      <c r="F6" s="7">
        <f>0.2-E6</f>
        <v>0.104</v>
      </c>
      <c r="G6" s="6">
        <v>300</v>
      </c>
      <c r="H6" s="7">
        <f>G6*F6</f>
        <v>31.2</v>
      </c>
    </row>
    <row r="7" customHeight="1" spans="1:8">
      <c r="A7" s="4"/>
      <c r="B7" s="2"/>
      <c r="C7" s="5" t="s">
        <v>68</v>
      </c>
      <c r="D7" s="7">
        <f>SUM(D6)</f>
        <v>0.96</v>
      </c>
      <c r="E7" s="7">
        <f>SUM(E6)</f>
        <v>0.096</v>
      </c>
      <c r="F7" s="7">
        <f>SUM(F6)</f>
        <v>0.104</v>
      </c>
      <c r="G7" s="7">
        <f>SUM(G6)</f>
        <v>300</v>
      </c>
      <c r="H7" s="7">
        <f>H6</f>
        <v>31.2</v>
      </c>
    </row>
    <row r="8" customHeight="1" spans="1:8">
      <c r="A8" s="4"/>
      <c r="B8" s="2"/>
      <c r="C8" s="2" t="s">
        <v>70</v>
      </c>
      <c r="D8" s="2"/>
      <c r="E8" s="2"/>
      <c r="F8" s="2"/>
      <c r="G8" s="7">
        <f>G5+G7</f>
        <v>800</v>
      </c>
      <c r="H8" s="7">
        <f>H7+H5</f>
        <v>559.2</v>
      </c>
    </row>
    <row r="9" customHeight="1" spans="1:8">
      <c r="A9" s="4"/>
      <c r="B9" s="2" t="s">
        <v>71</v>
      </c>
      <c r="C9" s="5" t="s">
        <v>67</v>
      </c>
      <c r="D9" s="7">
        <f>D4</f>
        <v>0.96</v>
      </c>
      <c r="E9" s="7">
        <f>D9*0.1</f>
        <v>0.096</v>
      </c>
      <c r="F9" s="7">
        <f>D9+E9</f>
        <v>1.056</v>
      </c>
      <c r="G9" s="6">
        <v>500</v>
      </c>
      <c r="H9" s="7">
        <f>ROUND(D9*G9*1.1,2)</f>
        <v>528</v>
      </c>
    </row>
    <row r="10" customHeight="1" spans="1:8">
      <c r="A10" s="4"/>
      <c r="B10" s="2"/>
      <c r="C10" s="5" t="s">
        <v>68</v>
      </c>
      <c r="D10" s="7">
        <f>D9</f>
        <v>0.96</v>
      </c>
      <c r="E10" s="7">
        <f>E9</f>
        <v>0.096</v>
      </c>
      <c r="F10" s="7">
        <f>F9</f>
        <v>1.056</v>
      </c>
      <c r="G10" s="7">
        <f>G9</f>
        <v>500</v>
      </c>
      <c r="H10" s="7">
        <f>H9</f>
        <v>528</v>
      </c>
    </row>
    <row r="11" customHeight="1" spans="1:8">
      <c r="A11" s="4"/>
      <c r="B11" s="2"/>
      <c r="C11" s="5" t="s">
        <v>69</v>
      </c>
      <c r="D11" s="7">
        <f>D9</f>
        <v>0.96</v>
      </c>
      <c r="E11" s="7">
        <f>D11*0.1</f>
        <v>0.096</v>
      </c>
      <c r="F11" s="7">
        <f>0.2-$E$11</f>
        <v>0.104</v>
      </c>
      <c r="G11" s="6">
        <v>300</v>
      </c>
      <c r="H11" s="7">
        <f>G11*F11</f>
        <v>31.2</v>
      </c>
    </row>
    <row r="12" customHeight="1" spans="1:8">
      <c r="A12" s="4"/>
      <c r="B12" s="2"/>
      <c r="C12" s="5" t="s">
        <v>68</v>
      </c>
      <c r="D12" s="7">
        <f>D11</f>
        <v>0.96</v>
      </c>
      <c r="E12" s="7">
        <f>E11</f>
        <v>0.096</v>
      </c>
      <c r="F12" s="7">
        <f>F11</f>
        <v>0.104</v>
      </c>
      <c r="G12" s="7">
        <f>G11</f>
        <v>300</v>
      </c>
      <c r="H12" s="7">
        <f>H11</f>
        <v>31.2</v>
      </c>
    </row>
    <row r="13" customHeight="1" spans="1:8">
      <c r="A13" s="4"/>
      <c r="B13" s="2"/>
      <c r="C13" s="2" t="s">
        <v>70</v>
      </c>
      <c r="D13" s="2"/>
      <c r="E13" s="2"/>
      <c r="F13" s="2"/>
      <c r="G13" s="7">
        <f>G10+G12</f>
        <v>800</v>
      </c>
      <c r="H13" s="7">
        <f>H10+H12</f>
        <v>559.2</v>
      </c>
    </row>
    <row r="14" customHeight="1" spans="1:8">
      <c r="A14" s="4"/>
      <c r="B14" s="8" t="s">
        <v>72</v>
      </c>
      <c r="C14" s="8"/>
      <c r="D14" s="8"/>
      <c r="E14" s="8"/>
      <c r="F14" s="8"/>
      <c r="G14" s="9">
        <f>G13+G8</f>
        <v>1600</v>
      </c>
      <c r="H14" s="9">
        <f>H13+H8</f>
        <v>1118.4</v>
      </c>
    </row>
    <row r="15" s="1" customFormat="1" customHeight="1" spans="2:8">
      <c r="B15" s="1" t="s">
        <v>59</v>
      </c>
      <c r="C15" s="1" t="s">
        <v>63</v>
      </c>
      <c r="D15" s="10" t="s">
        <v>60</v>
      </c>
      <c r="E15" s="10" t="s">
        <v>73</v>
      </c>
      <c r="F15" s="10"/>
      <c r="G15" s="10"/>
      <c r="H15" s="10"/>
    </row>
    <row r="16" customHeight="1" spans="1:8">
      <c r="A16" s="11" t="s">
        <v>74</v>
      </c>
      <c r="B16" t="s">
        <v>75</v>
      </c>
      <c r="C16" s="12"/>
      <c r="D16" s="13"/>
      <c r="E16" s="13"/>
      <c r="F16" s="13"/>
      <c r="G16" s="13"/>
      <c r="H16" s="13"/>
    </row>
    <row r="17" customHeight="1" spans="3:8">
      <c r="C17" s="12"/>
      <c r="D17" s="13"/>
      <c r="E17" s="13"/>
      <c r="F17" s="13"/>
      <c r="G17" s="13"/>
      <c r="H17" s="13"/>
    </row>
    <row r="18" customHeight="1" spans="4:8">
      <c r="D18" s="13"/>
      <c r="E18" s="13"/>
      <c r="F18" s="13"/>
      <c r="G18" s="13"/>
      <c r="H18" s="13"/>
    </row>
    <row r="19" customHeight="1" spans="4:8">
      <c r="D19" s="13"/>
      <c r="E19" s="13"/>
      <c r="F19" s="13"/>
      <c r="G19" s="13"/>
      <c r="H19" s="13"/>
    </row>
    <row r="20" customHeight="1" spans="4:8">
      <c r="D20" s="13"/>
      <c r="E20" s="13"/>
      <c r="F20" s="13"/>
      <c r="G20" s="13"/>
      <c r="H20" s="13"/>
    </row>
    <row r="21" customHeight="1" spans="4:8">
      <c r="D21" s="13"/>
      <c r="E21" s="13"/>
      <c r="F21" s="13"/>
      <c r="G21" s="13"/>
      <c r="H21" s="13"/>
    </row>
    <row r="22" customHeight="1" spans="4:8">
      <c r="D22" s="13"/>
      <c r="E22" s="13"/>
      <c r="F22" s="13"/>
      <c r="G22" s="13"/>
      <c r="H22" s="13"/>
    </row>
    <row r="23" customHeight="1" spans="4:8">
      <c r="D23" s="13"/>
      <c r="E23" s="13"/>
      <c r="F23" s="13"/>
      <c r="G23" s="13"/>
      <c r="H23" s="13"/>
    </row>
    <row r="24" customHeight="1" spans="4:8">
      <c r="D24" s="13"/>
      <c r="E24" s="13"/>
      <c r="F24" s="13"/>
      <c r="G24" s="13"/>
      <c r="H24" s="13"/>
    </row>
    <row r="25" customHeight="1" spans="4:8">
      <c r="D25" s="13"/>
      <c r="E25" s="13"/>
      <c r="F25" s="13"/>
      <c r="G25" s="13"/>
      <c r="H25" s="13"/>
    </row>
    <row r="26" customHeight="1" spans="4:8">
      <c r="D26" s="13"/>
      <c r="E26" s="13"/>
      <c r="F26" s="13"/>
      <c r="G26" s="13"/>
      <c r="H26" s="13"/>
    </row>
    <row r="27" customHeight="1" spans="4:8">
      <c r="D27" s="13"/>
      <c r="E27" s="13"/>
      <c r="F27" s="13"/>
      <c r="G27" s="13"/>
      <c r="H27" s="13"/>
    </row>
    <row r="28" customHeight="1" spans="4:8">
      <c r="D28" s="13"/>
      <c r="E28" s="13"/>
      <c r="F28" s="13"/>
      <c r="G28" s="13"/>
      <c r="H28" s="13"/>
    </row>
  </sheetData>
  <mergeCells count="7">
    <mergeCell ref="A3:C3"/>
    <mergeCell ref="C8:F8"/>
    <mergeCell ref="C13:F13"/>
    <mergeCell ref="B14:F14"/>
    <mergeCell ref="A4:A14"/>
    <mergeCell ref="B4:B8"/>
    <mergeCell ref="B9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2023.12</vt:lpstr>
      <vt:lpstr>2024.01</vt:lpstr>
      <vt:lpstr>2024.02</vt:lpstr>
      <vt:lpstr>2024.03</vt:lpstr>
      <vt:lpstr>2024.04</vt:lpstr>
      <vt:lpstr>2024.05</vt:lpstr>
      <vt:lpstr>2024.06</vt:lpstr>
      <vt:lpstr>2024.07</vt:lpstr>
      <vt:lpstr>2024.08</vt:lpstr>
      <vt:lpstr>2024.09</vt:lpstr>
      <vt:lpstr>2024.10</vt:lpstr>
      <vt:lpstr>2024.11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未央</cp:lastModifiedBy>
  <dcterms:created xsi:type="dcterms:W3CDTF">2024-01-12T01:23:00Z</dcterms:created>
  <cp:lastPrinted>2025-02-13T06:10:00Z</cp:lastPrinted>
  <dcterms:modified xsi:type="dcterms:W3CDTF">2025-06-17T06:18:14Z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C14473712ADC4CF2A075720ED1DA16A8_13</vt:lpwstr>
  </property>
  <property fmtid="{D5CDD505-2E9C-101B-9397-08002B2CF9AE}" pid="3" name="KSOProductBuildVer">
    <vt:lpwstr>2052-12.1.0.21541</vt:lpwstr>
  </property>
</Properties>
</file>