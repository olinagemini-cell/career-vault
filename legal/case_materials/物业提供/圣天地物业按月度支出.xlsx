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60" windowHeight="8820"/>
  </bookViews>
  <sheets>
    <sheet name="按月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<sst xmlns="http://schemas.openxmlformats.org/spreadsheetml/2006/main" count="97" uniqueCount="67">
  <si>
    <t>圣天地小区住宅楼月度支出</t>
  </si>
  <si>
    <t>序号</t>
  </si>
  <si>
    <t>类别</t>
  </si>
  <si>
    <t>名称</t>
  </si>
  <si>
    <t>数量频次</t>
  </si>
  <si>
    <t>明细</t>
  </si>
  <si>
    <t>月度支出（元/月）</t>
  </si>
  <si>
    <t>备注</t>
  </si>
  <si>
    <t>人工</t>
  </si>
  <si>
    <t>管理处人员</t>
  </si>
  <si>
    <t>5人</t>
  </si>
  <si>
    <t>薪资</t>
  </si>
  <si>
    <t>五险一金</t>
  </si>
  <si>
    <t>福利</t>
  </si>
  <si>
    <t>工程人员</t>
  </si>
  <si>
    <t>2人</t>
  </si>
  <si>
    <t>保安</t>
  </si>
  <si>
    <t>14人</t>
  </si>
  <si>
    <t>/</t>
  </si>
  <si>
    <t>保洁</t>
  </si>
  <si>
    <t>8人</t>
  </si>
  <si>
    <t>公共区域及公共设施设备检测</t>
  </si>
  <si>
    <t>清洗水箱</t>
  </si>
  <si>
    <t>2次/年</t>
  </si>
  <si>
    <t>2次/年，共4000/年</t>
  </si>
  <si>
    <t>水质检测</t>
  </si>
  <si>
    <t>4次/年</t>
  </si>
  <si>
    <t>4次/年，共2000/年</t>
  </si>
  <si>
    <t>避雷针检测</t>
  </si>
  <si>
    <t>1次/年</t>
  </si>
  <si>
    <t>3800/次/年</t>
  </si>
  <si>
    <t>公共区域灭虫消杀</t>
  </si>
  <si>
    <t>月</t>
  </si>
  <si>
    <t>公共设施设备
维护保养</t>
  </si>
  <si>
    <t>电梯维保年检</t>
  </si>
  <si>
    <t>电梯维保</t>
  </si>
  <si>
    <t>年</t>
  </si>
  <si>
    <t>电梯年检</t>
  </si>
  <si>
    <t>3510/9台/年</t>
  </si>
  <si>
    <t>楼层灭火器</t>
  </si>
  <si>
    <t>每层4个灭火器+地下车库设备房等，灭火器充气</t>
  </si>
  <si>
    <t>6000/次/年</t>
  </si>
  <si>
    <t>消防维保</t>
  </si>
  <si>
    <t>监控、门禁、安防系统</t>
  </si>
  <si>
    <t>绿化维护保养</t>
  </si>
  <si>
    <t>110报警系统</t>
  </si>
  <si>
    <t>污水排水管道保养</t>
  </si>
  <si>
    <t>公共设施能耗费</t>
  </si>
  <si>
    <t>电费</t>
  </si>
  <si>
    <t>水费</t>
  </si>
  <si>
    <t>日常工程维修</t>
  </si>
  <si>
    <t>易耗品、材料</t>
  </si>
  <si>
    <t>插座、开关、标识标牌、公灯、工程辅材等</t>
  </si>
  <si>
    <t>其他</t>
  </si>
  <si>
    <t>不可预见的费用</t>
  </si>
  <si>
    <t>更换空调冷凝水管、外墙清洗、各项活动筹备、节假日环境布置等</t>
  </si>
  <si>
    <t>办公经费
及管理费</t>
  </si>
  <si>
    <t>管理费分摊</t>
  </si>
  <si>
    <t>财务人事工资、固定资产折旧、福利费、保险费、培训费、办公费、业委招待费等费用</t>
  </si>
  <si>
    <t>停车管理</t>
  </si>
  <si>
    <t>停车场管理成本</t>
  </si>
  <si>
    <t>商务楼承担</t>
  </si>
  <si>
    <t>税金</t>
  </si>
  <si>
    <t>支出合计（元）</t>
  </si>
  <si>
    <t>圣天地公寓收费面积（㎡）</t>
  </si>
  <si>
    <t>42915.43㎡</t>
  </si>
  <si>
    <t>现单价4.5元/㎡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</si>
</sst>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9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3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distributed" vertical="center"/>
    </xf>
    <xf numFmtId="0" fontId="0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9" fontId="0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80" zoomScaleNormal="80" topLeftCell="A18" workbookViewId="0">
      <selection activeCell="I43" sqref="I43"/>
    </sheetView>
  </sheetViews>
  <sheetFormatPr defaultColWidth="8.88888888888889" defaultRowHeight="20" customHeight="1" outlineLevelCol="6"/>
  <cols>
    <col min="1" max="1" width="5.66666666666667" style="1" customWidth="1"/>
    <col min="2" max="2" width="21.2222222222222" customWidth="1"/>
    <col min="3" max="3" width="21.8981481481481" customWidth="1"/>
    <col min="4" max="4" width="12.7777777777778" customWidth="1"/>
    <col min="5" max="5" width="27.5" style="2" customWidth="1"/>
    <col min="6" max="6" width="27.6666666666667" style="3" customWidth="1"/>
    <col min="7" max="7" width="19.75" style="1" customWidth="1"/>
  </cols>
  <sheetData>
    <row r="1" ht="42" customHeight="1" spans="1:7">
      <c r="A1" s="4" t="s">
        <v>0</v>
      </c>
      <c r="B1" s="4"/>
      <c r="C1" s="4"/>
      <c r="D1" s="4"/>
      <c r="E1" s="4"/>
      <c r="F1" s="4"/>
      <c r="G1" s="4"/>
    </row>
    <row r="2" ht="27" customHeight="1" spans="1:7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5" t="s">
        <v>7</v>
      </c>
    </row>
    <row r="3" ht="27" customHeight="1" spans="1:7">
      <c r="A3" s="8">
        <v>1</v>
      </c>
      <c r="B3" s="8" t="s">
        <v>8</v>
      </c>
      <c r="C3" s="8" t="s">
        <v>9</v>
      </c>
      <c r="D3" s="8" t="s">
        <v>10</v>
      </c>
      <c r="E3" s="9" t="s">
        <v>11</v>
      </c>
      <c r="F3" s="10">
        <v>35810.33</v>
      </c>
      <c r="G3" s="8"/>
    </row>
    <row r="4" ht="27" customHeight="1" spans="1:7">
      <c r="A4" s="8">
        <v>2</v>
      </c>
      <c r="B4" s="8"/>
      <c r="C4" s="8"/>
      <c r="D4" s="8"/>
      <c r="E4" s="9" t="s">
        <v>12</v>
      </c>
      <c r="F4" s="10">
        <v>8333.99</v>
      </c>
      <c r="G4" s="8"/>
    </row>
    <row r="5" ht="27" customHeight="1" spans="1:7">
      <c r="A5" s="8">
        <v>3</v>
      </c>
      <c r="B5" s="8"/>
      <c r="C5" s="8"/>
      <c r="D5" s="8"/>
      <c r="E5" s="9" t="s">
        <v>13</v>
      </c>
      <c r="F5" s="10">
        <v>13493</v>
      </c>
      <c r="G5" s="8"/>
    </row>
    <row r="6" ht="27" customHeight="1" spans="1:7">
      <c r="A6" s="8">
        <v>4</v>
      </c>
      <c r="B6" s="8"/>
      <c r="C6" s="8" t="s">
        <v>14</v>
      </c>
      <c r="D6" s="8" t="s">
        <v>15</v>
      </c>
      <c r="E6" s="9" t="s">
        <v>11</v>
      </c>
      <c r="F6" s="10">
        <v>12383.67</v>
      </c>
      <c r="G6" s="8"/>
    </row>
    <row r="7" ht="27" customHeight="1" spans="1:7">
      <c r="A7" s="8">
        <v>5</v>
      </c>
      <c r="B7" s="8"/>
      <c r="C7" s="8"/>
      <c r="D7" s="8"/>
      <c r="E7" s="9" t="s">
        <v>12</v>
      </c>
      <c r="F7" s="10">
        <v>7909.65</v>
      </c>
      <c r="G7" s="8"/>
    </row>
    <row r="8" ht="27" customHeight="1" spans="1:7">
      <c r="A8" s="8">
        <v>6</v>
      </c>
      <c r="B8" s="8"/>
      <c r="C8" s="8"/>
      <c r="D8" s="8"/>
      <c r="E8" s="9" t="s">
        <v>13</v>
      </c>
      <c r="F8" s="10">
        <v>6522.71</v>
      </c>
      <c r="G8" s="8"/>
    </row>
    <row r="9" ht="27" customHeight="1" spans="1:7">
      <c r="A9" s="8">
        <v>7</v>
      </c>
      <c r="B9" s="8"/>
      <c r="C9" s="8" t="s">
        <v>16</v>
      </c>
      <c r="D9" s="8" t="s">
        <v>17</v>
      </c>
      <c r="E9" s="9" t="s">
        <v>18</v>
      </c>
      <c r="F9" s="10">
        <v>67900</v>
      </c>
      <c r="G9" s="8"/>
    </row>
    <row r="10" ht="27" customHeight="1" spans="1:7">
      <c r="A10" s="8">
        <v>8</v>
      </c>
      <c r="B10" s="8"/>
      <c r="C10" s="8" t="s">
        <v>19</v>
      </c>
      <c r="D10" s="8" t="s">
        <v>20</v>
      </c>
      <c r="E10" s="9" t="s">
        <v>18</v>
      </c>
      <c r="F10" s="10">
        <v>37000</v>
      </c>
      <c r="G10" s="8"/>
    </row>
    <row r="11" ht="27" customHeight="1" spans="1:7">
      <c r="A11" s="8">
        <v>9</v>
      </c>
      <c r="B11" s="11" t="s">
        <v>21</v>
      </c>
      <c r="C11" s="8" t="s">
        <v>22</v>
      </c>
      <c r="D11" s="12" t="s">
        <v>23</v>
      </c>
      <c r="E11" s="9" t="s">
        <v>18</v>
      </c>
      <c r="F11" s="10">
        <f>4000/12</f>
        <v>333.333333333333</v>
      </c>
      <c r="G11" s="8" t="s">
        <v>24</v>
      </c>
    </row>
    <row r="12" ht="27" customHeight="1" spans="1:7">
      <c r="A12" s="8">
        <v>10</v>
      </c>
      <c r="B12" s="11"/>
      <c r="C12" s="8" t="s">
        <v>25</v>
      </c>
      <c r="D12" s="12" t="s">
        <v>26</v>
      </c>
      <c r="E12" s="9" t="s">
        <v>18</v>
      </c>
      <c r="F12" s="10">
        <f>2000/12</f>
        <v>166.666666666667</v>
      </c>
      <c r="G12" s="8" t="s">
        <v>27</v>
      </c>
    </row>
    <row r="13" ht="27" customHeight="1" spans="1:7">
      <c r="A13" s="8">
        <v>11</v>
      </c>
      <c r="B13" s="11"/>
      <c r="C13" s="8" t="s">
        <v>28</v>
      </c>
      <c r="D13" s="12" t="s">
        <v>29</v>
      </c>
      <c r="E13" s="9" t="s">
        <v>18</v>
      </c>
      <c r="F13" s="10">
        <v>317</v>
      </c>
      <c r="G13" s="8" t="s">
        <v>30</v>
      </c>
    </row>
    <row r="14" ht="27" customHeight="1" spans="1:7">
      <c r="A14" s="8">
        <v>12</v>
      </c>
      <c r="B14" s="11"/>
      <c r="C14" s="8" t="s">
        <v>31</v>
      </c>
      <c r="D14" s="12" t="s">
        <v>32</v>
      </c>
      <c r="E14" s="9" t="s">
        <v>18</v>
      </c>
      <c r="F14" s="10">
        <v>300</v>
      </c>
      <c r="G14" s="8"/>
    </row>
    <row r="15" ht="27" customHeight="1" spans="1:7">
      <c r="A15" s="8">
        <v>13</v>
      </c>
      <c r="B15" s="11" t="s">
        <v>33</v>
      </c>
      <c r="C15" s="8" t="s">
        <v>34</v>
      </c>
      <c r="D15" s="12" t="s">
        <v>32</v>
      </c>
      <c r="E15" s="9" t="s">
        <v>35</v>
      </c>
      <c r="F15" s="10">
        <v>7200</v>
      </c>
      <c r="G15" s="8"/>
    </row>
    <row r="16" ht="27" customHeight="1" spans="1:7">
      <c r="A16" s="8">
        <v>14</v>
      </c>
      <c r="B16" s="11"/>
      <c r="C16" s="8"/>
      <c r="D16" s="12" t="s">
        <v>36</v>
      </c>
      <c r="E16" s="9" t="s">
        <v>37</v>
      </c>
      <c r="F16" s="10">
        <f>390*9/12</f>
        <v>292.5</v>
      </c>
      <c r="G16" s="8" t="s">
        <v>38</v>
      </c>
    </row>
    <row r="17" ht="27" customHeight="1" spans="1:7">
      <c r="A17" s="8">
        <v>15</v>
      </c>
      <c r="B17" s="11"/>
      <c r="C17" s="8" t="s">
        <v>39</v>
      </c>
      <c r="D17" s="12" t="s">
        <v>36</v>
      </c>
      <c r="E17" s="9" t="s">
        <v>40</v>
      </c>
      <c r="F17" s="10">
        <v>500</v>
      </c>
      <c r="G17" s="8" t="s">
        <v>41</v>
      </c>
    </row>
    <row r="18" ht="27" customHeight="1" spans="1:7">
      <c r="A18" s="8">
        <v>16</v>
      </c>
      <c r="B18" s="11"/>
      <c r="C18" s="8" t="s">
        <v>42</v>
      </c>
      <c r="D18" s="12" t="s">
        <v>32</v>
      </c>
      <c r="E18" s="9" t="s">
        <v>18</v>
      </c>
      <c r="F18" s="10">
        <v>300</v>
      </c>
      <c r="G18" s="13"/>
    </row>
    <row r="19" ht="27" customHeight="1" spans="1:7">
      <c r="A19" s="8">
        <v>17</v>
      </c>
      <c r="B19" s="11"/>
      <c r="C19" s="8" t="s">
        <v>43</v>
      </c>
      <c r="D19" s="14" t="s">
        <v>18</v>
      </c>
      <c r="E19" s="9" t="s">
        <v>18</v>
      </c>
      <c r="F19" s="10">
        <v>300</v>
      </c>
      <c r="G19" s="13"/>
    </row>
    <row r="20" ht="27" customHeight="1" spans="1:7">
      <c r="A20" s="8">
        <v>18</v>
      </c>
      <c r="B20" s="11"/>
      <c r="C20" s="8" t="s">
        <v>44</v>
      </c>
      <c r="D20" s="12" t="s">
        <v>32</v>
      </c>
      <c r="E20" s="9" t="s">
        <v>18</v>
      </c>
      <c r="F20" s="10">
        <v>1333</v>
      </c>
      <c r="G20" s="8"/>
    </row>
    <row r="21" ht="27" customHeight="1" spans="1:7">
      <c r="A21" s="8">
        <v>19</v>
      </c>
      <c r="B21" s="11"/>
      <c r="C21" s="8" t="s">
        <v>45</v>
      </c>
      <c r="D21" s="12" t="s">
        <v>32</v>
      </c>
      <c r="E21" s="9" t="s">
        <v>18</v>
      </c>
      <c r="F21" s="10">
        <v>220</v>
      </c>
      <c r="G21" s="8"/>
    </row>
    <row r="22" ht="27" customHeight="1" spans="1:7">
      <c r="A22" s="8">
        <v>20</v>
      </c>
      <c r="B22" s="11"/>
      <c r="C22" s="8" t="s">
        <v>46</v>
      </c>
      <c r="D22" s="12" t="s">
        <v>32</v>
      </c>
      <c r="E22" s="9" t="s">
        <v>18</v>
      </c>
      <c r="F22" s="10">
        <v>2667</v>
      </c>
      <c r="G22" s="8"/>
    </row>
    <row r="23" ht="27" customHeight="1" spans="1:7">
      <c r="A23" s="8">
        <v>21</v>
      </c>
      <c r="B23" s="11" t="s">
        <v>47</v>
      </c>
      <c r="C23" s="8" t="s">
        <v>48</v>
      </c>
      <c r="D23" s="12" t="s">
        <v>32</v>
      </c>
      <c r="E23" s="9" t="s">
        <v>18</v>
      </c>
      <c r="F23" s="10">
        <v>23386.5</v>
      </c>
      <c r="G23" s="8"/>
    </row>
    <row r="24" ht="27" customHeight="1" spans="1:7">
      <c r="A24" s="8">
        <v>22</v>
      </c>
      <c r="B24" s="11"/>
      <c r="C24" s="8" t="s">
        <v>49</v>
      </c>
      <c r="D24" s="12" t="s">
        <v>32</v>
      </c>
      <c r="E24" s="9" t="s">
        <v>18</v>
      </c>
      <c r="F24" s="10">
        <v>10140.2</v>
      </c>
      <c r="G24" s="8"/>
    </row>
    <row r="25" ht="27" customHeight="1" spans="1:7">
      <c r="A25" s="8">
        <v>23</v>
      </c>
      <c r="B25" s="8" t="s">
        <v>50</v>
      </c>
      <c r="C25" s="8" t="s">
        <v>51</v>
      </c>
      <c r="D25" s="14" t="s">
        <v>18</v>
      </c>
      <c r="E25" s="9" t="s">
        <v>52</v>
      </c>
      <c r="F25" s="10">
        <v>2976</v>
      </c>
      <c r="G25" s="13"/>
    </row>
    <row r="26" ht="48" customHeight="1" spans="1:7">
      <c r="A26" s="8">
        <v>24</v>
      </c>
      <c r="B26" s="8" t="s">
        <v>53</v>
      </c>
      <c r="C26" s="8" t="s">
        <v>54</v>
      </c>
      <c r="D26" s="14"/>
      <c r="E26" s="9" t="s">
        <v>55</v>
      </c>
      <c r="F26" s="10">
        <v>2000</v>
      </c>
      <c r="G26" s="13"/>
    </row>
    <row r="27" ht="27" customHeight="1" spans="1:7">
      <c r="A27" s="8">
        <v>25</v>
      </c>
      <c r="B27" s="15" t="s">
        <v>56</v>
      </c>
      <c r="C27" s="13" t="s">
        <v>57</v>
      </c>
      <c r="D27" s="15" t="s">
        <v>18</v>
      </c>
      <c r="E27" s="16" t="s">
        <v>58</v>
      </c>
      <c r="F27" s="10">
        <v>6353</v>
      </c>
      <c r="G27" s="13"/>
    </row>
    <row r="28" ht="27" customHeight="1" spans="1:7">
      <c r="A28" s="8">
        <v>26</v>
      </c>
      <c r="B28" s="15" t="s">
        <v>59</v>
      </c>
      <c r="C28" s="13" t="s">
        <v>60</v>
      </c>
      <c r="D28" s="15" t="s">
        <v>18</v>
      </c>
      <c r="E28" s="16" t="s">
        <v>18</v>
      </c>
      <c r="F28" s="10">
        <v>0</v>
      </c>
      <c r="G28" s="13" t="s">
        <v>61</v>
      </c>
    </row>
    <row r="29" ht="30" customHeight="1" spans="1:7">
      <c r="A29" s="8">
        <v>27</v>
      </c>
      <c r="B29" s="13" t="s">
        <v>62</v>
      </c>
      <c r="C29" s="17">
        <v>0.06</v>
      </c>
      <c r="D29" s="15" t="s">
        <v>18</v>
      </c>
      <c r="E29" s="16" t="s">
        <v>18</v>
      </c>
      <c r="F29" s="10">
        <v>10932.19</v>
      </c>
      <c r="G29" s="13"/>
    </row>
    <row r="30" ht="41" customHeight="1" spans="1:7">
      <c r="A30" s="5" t="s">
        <v>63</v>
      </c>
      <c r="B30" s="5"/>
      <c r="C30" s="5"/>
      <c r="D30" s="5"/>
      <c r="E30" s="5"/>
      <c r="F30" s="18">
        <f>SUM(F3:F29)</f>
        <v>259070.74</v>
      </c>
      <c r="G30" s="5"/>
    </row>
    <row r="31" s="1" customFormat="1" ht="35" customHeight="1" spans="1:7">
      <c r="A31" s="5" t="s">
        <v>64</v>
      </c>
      <c r="B31" s="5"/>
      <c r="C31" s="5"/>
      <c r="D31" s="5"/>
      <c r="E31" s="5"/>
      <c r="F31" s="19" t="s">
        <v>65</v>
      </c>
      <c r="G31" s="10" t="s">
        <v>66</v>
      </c>
    </row>
    <row r="32" s="1" customFormat="1" ht="27" customHeight="1"/>
    <row r="33" s="1" customFormat="1" ht="27" customHeight="1"/>
  </sheetData>
  <mergeCells count="12">
    <mergeCell ref="A1:G1"/>
    <mergeCell ref="A30:E30"/>
    <mergeCell ref="A31:E31"/>
    <mergeCell ref="B3:B10"/>
    <mergeCell ref="B11:B14"/>
    <mergeCell ref="B15:B22"/>
    <mergeCell ref="B23:B24"/>
    <mergeCell ref="C3:C5"/>
    <mergeCell ref="C6:C8"/>
    <mergeCell ref="C15:C16"/>
    <mergeCell ref="D3:D5"/>
    <mergeCell ref="D6:D8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未央</cp:lastModifiedBy>
  <dcterms:created xsi:type="dcterms:W3CDTF">2024-08-15T01:30:00Z</dcterms:created>
  <dcterms:modified xsi:type="dcterms:W3CDTF">2025-09-30T09:34:49Z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38B5E0CFD27946D891AA95F6CF9DE217_13</vt:lpwstr>
  </property>
  <property fmtid="{D5CDD505-2E9C-101B-9397-08002B2CF9AE}" pid="3" name="KSOProductBuildVer">
    <vt:lpwstr>2052-12.1.0.22529</vt:lpwstr>
  </property>
</Properties>
</file>