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lina\Desktop\"/>
    </mc:Choice>
  </mc:AlternateContent>
  <xr:revisionPtr revIDLastSave="0" documentId="8_{8E6AB3B6-1336-40B3-909A-DA18E182FEE1}" xr6:coauthVersionLast="47" xr6:coauthVersionMax="47" xr10:uidLastSave="{00000000-0000-0000-0000-000000000000}"/>
  <bookViews>
    <workbookView xWindow="-108" yWindow="-108" windowWidth="23256" windowHeight="12456" xr2:uid="{42A9CCCB-D8DB-4A26-89E1-D1AFCE49D01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25" i="1" l="1"/>
  <c r="E19" i="1"/>
  <c r="E20" i="1"/>
  <c r="E21" i="1"/>
  <c r="E22" i="1"/>
  <c r="E23" i="1"/>
  <c r="E24" i="1"/>
  <c r="E18" i="1"/>
  <c r="C19" i="1"/>
  <c r="C20" i="1"/>
  <c r="C21" i="1"/>
  <c r="C22" i="1"/>
  <c r="C23" i="1"/>
  <c r="C24" i="1"/>
  <c r="C18" i="1"/>
  <c r="M10" i="1"/>
  <c r="M4" i="1"/>
  <c r="M5" i="1"/>
  <c r="M6" i="1"/>
  <c r="M7" i="1"/>
  <c r="M8" i="1"/>
  <c r="M9" i="1"/>
  <c r="M3" i="1"/>
  <c r="K4" i="1"/>
  <c r="K5" i="1"/>
  <c r="K6" i="1"/>
  <c r="K7" i="1"/>
  <c r="K8" i="1"/>
  <c r="K9" i="1"/>
  <c r="K3" i="1"/>
  <c r="H6" i="1"/>
  <c r="J6" i="1" s="1"/>
  <c r="D3" i="1"/>
  <c r="G3" i="1" s="1"/>
  <c r="D4" i="1"/>
  <c r="G4" i="1" s="1"/>
  <c r="D5" i="1"/>
  <c r="G5" i="1" s="1"/>
  <c r="D6" i="1"/>
  <c r="G6" i="1" s="1"/>
  <c r="D7" i="1"/>
  <c r="G7" i="1" s="1"/>
  <c r="D8" i="1"/>
  <c r="H8" i="1" s="1"/>
  <c r="D9" i="1"/>
  <c r="G9" i="1" s="1"/>
  <c r="H3" i="1" l="1"/>
  <c r="J3" i="1" s="1"/>
  <c r="H7" i="1"/>
  <c r="J7" i="1" s="1"/>
  <c r="H4" i="1"/>
  <c r="J4" i="1" s="1"/>
  <c r="H5" i="1"/>
  <c r="J5" i="1" s="1"/>
  <c r="G8" i="1"/>
  <c r="J8" i="1" s="1"/>
  <c r="H9" i="1"/>
  <c r="J9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Olina iu</author>
  </authors>
  <commentList>
    <comment ref="L9" authorId="0" shapeId="0" xr:uid="{D84BC92A-A133-480A-96D3-3600EFABFD77}">
      <text>
        <r>
          <rPr>
            <b/>
            <sz val="9"/>
            <color indexed="81"/>
            <rFont val="Tahoma"/>
            <family val="2"/>
          </rPr>
          <t>Olina iu: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仅计算1-6月已缴纳部分</t>
        </r>
      </text>
    </comment>
    <comment ref="D24" authorId="0" shapeId="0" xr:uid="{15B65AFE-FC48-406A-ABA7-436A72FF8CEC}">
      <text>
        <r>
          <rPr>
            <b/>
            <sz val="9"/>
            <color indexed="81"/>
            <rFont val="Tahoma"/>
            <family val="2"/>
          </rPr>
          <t>Olina iu: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仅计算1-6月已缴纳部分</t>
        </r>
      </text>
    </comment>
  </commentList>
</comments>
</file>

<file path=xl/sharedStrings.xml><?xml version="1.0" encoding="utf-8"?>
<sst xmlns="http://schemas.openxmlformats.org/spreadsheetml/2006/main" count="22" uniqueCount="17">
  <si>
    <t>年份</t>
    <phoneticPr fontId="2" type="noConversion"/>
  </si>
  <si>
    <t>当年水费单价</t>
    <phoneticPr fontId="2" type="noConversion"/>
  </si>
  <si>
    <t>全小区锅炉水费总额</t>
    <phoneticPr fontId="2" type="noConversion"/>
  </si>
  <si>
    <t>小区全年用水量（吨）</t>
    <phoneticPr fontId="2" type="noConversion"/>
  </si>
  <si>
    <t>人工成本</t>
    <phoneticPr fontId="2" type="noConversion"/>
  </si>
  <si>
    <t>节能费用摊入</t>
    <phoneticPr fontId="2" type="noConversion"/>
  </si>
  <si>
    <t>计算方式一</t>
    <phoneticPr fontId="2" type="noConversion"/>
  </si>
  <si>
    <t>(-)人工成本/吨</t>
    <phoneticPr fontId="2" type="noConversion"/>
  </si>
  <si>
    <t>(-)节能费用摊入/吨</t>
    <phoneticPr fontId="2" type="noConversion"/>
  </si>
  <si>
    <t>计算方式二</t>
    <phoneticPr fontId="2" type="noConversion"/>
  </si>
  <si>
    <t>当年热水费定价</t>
    <phoneticPr fontId="2" type="noConversion"/>
  </si>
  <si>
    <t>当年热水费合理单价</t>
    <phoneticPr fontId="2" type="noConversion"/>
  </si>
  <si>
    <t>1- 按照上海市的年平均气温21度，每吨水加热到50℃，可以计算出所需要的电费大概27元</t>
    <phoneticPr fontId="2" type="noConversion"/>
  </si>
  <si>
    <t>2- 按照80%的加热效率和自来水费，平均每吨热水的成本约30-33元</t>
    <phoneticPr fontId="2" type="noConversion"/>
  </si>
  <si>
    <t>差额</t>
    <phoneticPr fontId="2" type="noConversion"/>
  </si>
  <si>
    <t>原告当年用水量（吨）</t>
    <phoneticPr fontId="2" type="noConversion"/>
  </si>
  <si>
    <t>应退差价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</si>
</sst>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 &quot;¥&quot;* #,##0.00_ ;_ &quot;¥&quot;* \-#,##0.00_ ;_ &quot;¥&quot;* &quot;-&quot;??_ ;_ @_ "/>
  </numFmts>
  <fonts count="8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b/>
      <sz val="11"/>
      <color theme="1"/>
      <name val="等线"/>
      <family val="3"/>
      <charset val="134"/>
      <scheme val="minor"/>
    </font>
    <font>
      <b/>
      <sz val="11"/>
      <color rgb="FFFF0000"/>
      <name val="等线"/>
      <family val="3"/>
      <charset val="134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9"/>
      <color indexed="81"/>
      <name val="宋体"/>
      <family val="3"/>
      <charset val="134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44" fontId="1" fillId="0" borderId="0" applyFont="0" applyFill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3" fillId="0" borderId="0" xfId="0" applyFont="1" applyAlignment="1">
      <alignment vertical="center" wrapText="1"/>
    </xf>
    <xf numFmtId="0" fontId="4" fillId="0" borderId="0" xfId="0" applyFont="1" applyAlignment="1">
      <alignment vertical="center" wrapText="1"/>
    </xf>
    <xf numFmtId="0" fontId="3" fillId="0" borderId="0" xfId="0" applyFont="1" applyAlignment="1">
      <alignment horizontal="center" vertical="center" wrapText="1"/>
    </xf>
    <xf numFmtId="0" fontId="0" fillId="0" borderId="0" xfId="0" applyFill="1">
      <alignment vertical="center"/>
    </xf>
    <xf numFmtId="0" fontId="3" fillId="2" borderId="0" xfId="0" applyFont="1" applyFill="1">
      <alignment vertical="center"/>
    </xf>
    <xf numFmtId="0" fontId="0" fillId="0" borderId="0" xfId="0" applyAlignment="1">
      <alignment horizontal="center" vertical="center"/>
    </xf>
    <xf numFmtId="44" fontId="3" fillId="3" borderId="0" xfId="1" applyFont="1" applyFill="1">
      <alignment vertical="center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533401</xdr:colOff>
      <xdr:row>12</xdr:row>
      <xdr:rowOff>121920</xdr:rowOff>
    </xdr:from>
    <xdr:to>
      <xdr:col>8</xdr:col>
      <xdr:colOff>79261</xdr:colOff>
      <xdr:row>35</xdr:row>
      <xdr:rowOff>145790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8C11FA4-879D-D4F0-D30E-99C5AE2C34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83581" y="2575560"/>
          <a:ext cx="2944380" cy="4230110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CAD4ED-2166-4570-8321-18A041C2F194}">
  <dimension ref="A1:M25"/>
  <sheetViews>
    <sheetView tabSelected="1" workbookViewId="0">
      <selection activeCell="L17" sqref="L17"/>
    </sheetView>
  </sheetViews>
  <sheetFormatPr defaultRowHeight="13.8" x14ac:dyDescent="0.25"/>
  <cols>
    <col min="1" max="1" width="11.6640625" bestFit="1" customWidth="1"/>
    <col min="2" max="2" width="16.109375" customWidth="1"/>
    <col min="3" max="3" width="12.109375" customWidth="1"/>
    <col min="4" max="4" width="22.6640625" bestFit="1" customWidth="1"/>
    <col min="5" max="5" width="14" customWidth="1"/>
    <col min="6" max="6" width="15" customWidth="1"/>
    <col min="7" max="7" width="15.109375" bestFit="1" customWidth="1"/>
    <col min="8" max="8" width="19.44140625" bestFit="1" customWidth="1"/>
    <col min="9" max="9" width="10.88671875" style="6" customWidth="1"/>
    <col min="10" max="10" width="13.88671875" customWidth="1"/>
    <col min="13" max="13" width="13.33203125" customWidth="1"/>
  </cols>
  <sheetData>
    <row r="1" spans="1:13" x14ac:dyDescent="0.25">
      <c r="A1" s="5" t="s">
        <v>6</v>
      </c>
    </row>
    <row r="2" spans="1:13" s="1" customFormat="1" ht="41.4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2" t="s">
        <v>7</v>
      </c>
      <c r="H2" s="2" t="s">
        <v>8</v>
      </c>
      <c r="I2" s="3" t="s">
        <v>10</v>
      </c>
      <c r="J2" s="1" t="s">
        <v>11</v>
      </c>
      <c r="K2" s="1" t="s">
        <v>14</v>
      </c>
      <c r="L2" s="1" t="s">
        <v>15</v>
      </c>
      <c r="M2" s="1" t="s">
        <v>16</v>
      </c>
    </row>
    <row r="3" spans="1:13" x14ac:dyDescent="0.25">
      <c r="A3">
        <v>2018</v>
      </c>
      <c r="B3">
        <v>5</v>
      </c>
      <c r="C3">
        <v>130966.92</v>
      </c>
      <c r="D3">
        <f>C3/B3</f>
        <v>26193.383999999998</v>
      </c>
      <c r="E3">
        <v>274158.60000000003</v>
      </c>
      <c r="F3">
        <v>211558.09000000003</v>
      </c>
      <c r="G3">
        <f t="shared" ref="G3:G7" si="0">E3/D3</f>
        <v>10.466711746752541</v>
      </c>
      <c r="H3">
        <f t="shared" ref="H3:H7" si="1">F3/D3</f>
        <v>8.0767757995683205</v>
      </c>
      <c r="I3" s="6">
        <v>39</v>
      </c>
      <c r="J3" s="4">
        <f>I3-H3-G3</f>
        <v>20.456512453679139</v>
      </c>
      <c r="K3">
        <f>I3-J3</f>
        <v>18.543487546320861</v>
      </c>
      <c r="L3">
        <v>7</v>
      </c>
      <c r="M3">
        <f>L3*K3</f>
        <v>129.80441282424601</v>
      </c>
    </row>
    <row r="4" spans="1:13" x14ac:dyDescent="0.25">
      <c r="A4">
        <v>2019</v>
      </c>
      <c r="B4">
        <v>4.7300000000000004</v>
      </c>
      <c r="C4">
        <v>128102.93999999999</v>
      </c>
      <c r="D4">
        <f>C4/B4</f>
        <v>27083.073995771665</v>
      </c>
      <c r="E4">
        <v>355782.89999999991</v>
      </c>
      <c r="F4">
        <v>212753.25</v>
      </c>
      <c r="G4">
        <f t="shared" si="0"/>
        <v>13.136725175862473</v>
      </c>
      <c r="H4">
        <f t="shared" si="1"/>
        <v>7.8555798368093672</v>
      </c>
      <c r="I4" s="6">
        <v>39</v>
      </c>
      <c r="J4" s="4">
        <f t="shared" ref="J4:J7" si="2">I4-H4-G4</f>
        <v>18.007694987328158</v>
      </c>
      <c r="K4">
        <f t="shared" ref="K4:K9" si="3">I4-J4</f>
        <v>20.992305012671842</v>
      </c>
      <c r="L4">
        <v>22</v>
      </c>
      <c r="M4">
        <f t="shared" ref="M4:M9" si="4">L4*K4</f>
        <v>461.83071027878054</v>
      </c>
    </row>
    <row r="5" spans="1:13" x14ac:dyDescent="0.25">
      <c r="A5">
        <v>2020</v>
      </c>
      <c r="B5">
        <v>4.7300000000000004</v>
      </c>
      <c r="C5">
        <v>113637.12</v>
      </c>
      <c r="D5">
        <f>C5/B5</f>
        <v>24024.761099365747</v>
      </c>
      <c r="E5">
        <v>365832.39999999997</v>
      </c>
      <c r="F5">
        <v>103383.12</v>
      </c>
      <c r="G5">
        <f t="shared" si="0"/>
        <v>15.227306464648173</v>
      </c>
      <c r="H5">
        <f t="shared" si="1"/>
        <v>4.3031903448450652</v>
      </c>
      <c r="I5" s="6">
        <v>39</v>
      </c>
      <c r="J5" s="4">
        <f t="shared" si="2"/>
        <v>19.469503190506764</v>
      </c>
      <c r="K5">
        <f t="shared" si="3"/>
        <v>19.530496809493236</v>
      </c>
      <c r="L5">
        <v>22</v>
      </c>
      <c r="M5">
        <f t="shared" si="4"/>
        <v>429.67092980885121</v>
      </c>
    </row>
    <row r="6" spans="1:13" x14ac:dyDescent="0.25">
      <c r="A6">
        <v>2021</v>
      </c>
      <c r="B6">
        <v>5.99</v>
      </c>
      <c r="C6">
        <v>122127.49</v>
      </c>
      <c r="D6">
        <f>C6/B6</f>
        <v>20388.562604340568</v>
      </c>
      <c r="E6">
        <v>389169.3</v>
      </c>
      <c r="F6">
        <v>160416.28000000003</v>
      </c>
      <c r="G6">
        <f t="shared" si="0"/>
        <v>19.087628076201351</v>
      </c>
      <c r="H6">
        <f t="shared" si="1"/>
        <v>7.8679543581874984</v>
      </c>
      <c r="I6" s="6">
        <v>39</v>
      </c>
      <c r="J6" s="4">
        <f t="shared" si="2"/>
        <v>12.044417565611152</v>
      </c>
      <c r="K6">
        <f t="shared" si="3"/>
        <v>26.955582434388848</v>
      </c>
      <c r="L6">
        <v>28</v>
      </c>
      <c r="M6">
        <f t="shared" si="4"/>
        <v>754.75630816288776</v>
      </c>
    </row>
    <row r="7" spans="1:13" x14ac:dyDescent="0.25">
      <c r="A7">
        <v>2022</v>
      </c>
      <c r="B7">
        <v>5.99</v>
      </c>
      <c r="C7">
        <v>133277.77000000002</v>
      </c>
      <c r="D7">
        <f>C7/B7</f>
        <v>22250.04507512521</v>
      </c>
      <c r="E7">
        <v>344663.40000000008</v>
      </c>
      <c r="F7">
        <v>168048</v>
      </c>
      <c r="G7">
        <f t="shared" si="0"/>
        <v>15.490458506321049</v>
      </c>
      <c r="H7">
        <f t="shared" si="1"/>
        <v>7.5527038004912592</v>
      </c>
      <c r="I7" s="6">
        <v>42</v>
      </c>
      <c r="J7" s="4">
        <f t="shared" si="2"/>
        <v>18.956837693187694</v>
      </c>
      <c r="K7">
        <f t="shared" si="3"/>
        <v>23.043162306812306</v>
      </c>
      <c r="L7">
        <v>23.5</v>
      </c>
      <c r="M7">
        <f t="shared" si="4"/>
        <v>541.5143142100892</v>
      </c>
    </row>
    <row r="8" spans="1:13" x14ac:dyDescent="0.25">
      <c r="A8">
        <v>2023</v>
      </c>
      <c r="B8">
        <v>5.99</v>
      </c>
      <c r="C8">
        <v>137329.65000000002</v>
      </c>
      <c r="D8">
        <f>C8/B8</f>
        <v>22926.485809682807</v>
      </c>
      <c r="E8">
        <v>367543.19999999995</v>
      </c>
      <c r="F8">
        <v>187030.74</v>
      </c>
      <c r="G8">
        <f>E8/D8</f>
        <v>16.031379734820554</v>
      </c>
      <c r="H8">
        <f>F8/D8</f>
        <v>8.1578459757233777</v>
      </c>
      <c r="I8" s="6">
        <v>42</v>
      </c>
      <c r="J8" s="4">
        <f>I8-H8-G8</f>
        <v>17.81077428945607</v>
      </c>
      <c r="K8">
        <f t="shared" si="3"/>
        <v>24.18922571054393</v>
      </c>
      <c r="L8">
        <v>18</v>
      </c>
      <c r="M8">
        <f t="shared" si="4"/>
        <v>435.40606278979072</v>
      </c>
    </row>
    <row r="9" spans="1:13" x14ac:dyDescent="0.25">
      <c r="A9">
        <v>2024</v>
      </c>
      <c r="B9">
        <v>5.99</v>
      </c>
      <c r="C9">
        <v>125217.75</v>
      </c>
      <c r="D9">
        <f>C9/B9</f>
        <v>20904.465776293822</v>
      </c>
      <c r="E9">
        <v>307499.28999999998</v>
      </c>
      <c r="F9">
        <v>195228.36000000002</v>
      </c>
      <c r="G9">
        <f>E9/D9</f>
        <v>14.709741606920744</v>
      </c>
      <c r="H9">
        <f>F9/D9</f>
        <v>9.3390743436932873</v>
      </c>
      <c r="I9" s="6">
        <v>42</v>
      </c>
      <c r="J9" s="4">
        <f>I9-H9-G9</f>
        <v>17.951184049385972</v>
      </c>
      <c r="K9">
        <f t="shared" si="3"/>
        <v>24.048815950614028</v>
      </c>
      <c r="L9">
        <v>12</v>
      </c>
      <c r="M9">
        <f t="shared" si="4"/>
        <v>288.58579140736833</v>
      </c>
    </row>
    <row r="10" spans="1:13" x14ac:dyDescent="0.25">
      <c r="M10" s="7">
        <f>SUM(M3:M9)</f>
        <v>3041.5685294820141</v>
      </c>
    </row>
    <row r="13" spans="1:13" x14ac:dyDescent="0.25">
      <c r="A13" s="5" t="s">
        <v>9</v>
      </c>
    </row>
    <row r="14" spans="1:13" x14ac:dyDescent="0.25">
      <c r="A14" s="4" t="s">
        <v>12</v>
      </c>
    </row>
    <row r="15" spans="1:13" x14ac:dyDescent="0.25">
      <c r="A15" t="s">
        <v>13</v>
      </c>
    </row>
    <row r="17" spans="1:5" ht="27.6" x14ac:dyDescent="0.25">
      <c r="A17" s="3" t="s">
        <v>10</v>
      </c>
      <c r="B17" s="1" t="s">
        <v>11</v>
      </c>
      <c r="C17" s="1" t="s">
        <v>14</v>
      </c>
      <c r="D17" s="3" t="s">
        <v>15</v>
      </c>
      <c r="E17" s="1" t="s">
        <v>16</v>
      </c>
    </row>
    <row r="18" spans="1:5" x14ac:dyDescent="0.25">
      <c r="A18" s="6">
        <v>39</v>
      </c>
      <c r="B18" s="6">
        <v>30</v>
      </c>
      <c r="C18" s="6">
        <f>A18-B18</f>
        <v>9</v>
      </c>
      <c r="D18" s="6">
        <v>7</v>
      </c>
      <c r="E18">
        <f>C18*D18</f>
        <v>63</v>
      </c>
    </row>
    <row r="19" spans="1:5" x14ac:dyDescent="0.25">
      <c r="A19" s="6">
        <v>39</v>
      </c>
      <c r="B19" s="6">
        <v>30</v>
      </c>
      <c r="C19" s="6">
        <f t="shared" ref="C19:C24" si="5">A19-B19</f>
        <v>9</v>
      </c>
      <c r="D19" s="6">
        <v>22</v>
      </c>
      <c r="E19">
        <f t="shared" ref="E19:E24" si="6">C19*D19</f>
        <v>198</v>
      </c>
    </row>
    <row r="20" spans="1:5" x14ac:dyDescent="0.25">
      <c r="A20" s="6">
        <v>39</v>
      </c>
      <c r="B20" s="6">
        <v>30</v>
      </c>
      <c r="C20" s="6">
        <f t="shared" si="5"/>
        <v>9</v>
      </c>
      <c r="D20" s="6">
        <v>22</v>
      </c>
      <c r="E20">
        <f t="shared" si="6"/>
        <v>198</v>
      </c>
    </row>
    <row r="21" spans="1:5" x14ac:dyDescent="0.25">
      <c r="A21" s="6">
        <v>39</v>
      </c>
      <c r="B21" s="6">
        <v>30</v>
      </c>
      <c r="C21" s="6">
        <f t="shared" si="5"/>
        <v>9</v>
      </c>
      <c r="D21" s="6">
        <v>28</v>
      </c>
      <c r="E21">
        <f t="shared" si="6"/>
        <v>252</v>
      </c>
    </row>
    <row r="22" spans="1:5" x14ac:dyDescent="0.25">
      <c r="A22" s="6">
        <v>42</v>
      </c>
      <c r="B22" s="6">
        <v>30</v>
      </c>
      <c r="C22" s="6">
        <f t="shared" si="5"/>
        <v>12</v>
      </c>
      <c r="D22" s="6">
        <v>23.5</v>
      </c>
      <c r="E22">
        <f t="shared" si="6"/>
        <v>282</v>
      </c>
    </row>
    <row r="23" spans="1:5" x14ac:dyDescent="0.25">
      <c r="A23" s="6">
        <v>42</v>
      </c>
      <c r="B23" s="6">
        <v>30</v>
      </c>
      <c r="C23" s="6">
        <f t="shared" si="5"/>
        <v>12</v>
      </c>
      <c r="D23" s="6">
        <v>18</v>
      </c>
      <c r="E23">
        <f t="shared" si="6"/>
        <v>216</v>
      </c>
    </row>
    <row r="24" spans="1:5" x14ac:dyDescent="0.25">
      <c r="A24" s="6">
        <v>42</v>
      </c>
      <c r="B24" s="6">
        <v>30</v>
      </c>
      <c r="C24" s="6">
        <f t="shared" si="5"/>
        <v>12</v>
      </c>
      <c r="D24" s="6">
        <v>12</v>
      </c>
      <c r="E24">
        <f t="shared" si="6"/>
        <v>144</v>
      </c>
    </row>
    <row r="25" spans="1:5" x14ac:dyDescent="0.25">
      <c r="A25" s="4"/>
      <c r="E25" s="7">
        <f>SUM(E18:E24)</f>
        <v>1353</v>
      </c>
    </row>
  </sheetData>
  <phoneticPr fontId="2" type="noConversion"/>
  <pageMargins left="0.7" right="0.7" top="0.75" bottom="0.75" header="0.3" footer="0.3"/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水寒 逆</dc:creator>
  <cp:lastModifiedBy>水寒 逆</cp:lastModifiedBy>
  <dcterms:created xsi:type="dcterms:W3CDTF">2025-07-06T05:52:25Z</dcterms:created>
  <dcterms:modified xsi:type="dcterms:W3CDTF">2025-07-06T06:37:59Z</dcterms:modified>
</cp:coreProperties>
</file>